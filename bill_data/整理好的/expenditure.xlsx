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8"/>
  </bookViews>
  <sheets>
    <sheet name="支出" sheetId="8" r:id="rId1"/>
    <sheet name="收入" sheetId="4" r:id="rId2"/>
    <sheet name="余额2" sheetId="12" r:id="rId3"/>
    <sheet name="资产配置" sheetId="14" r:id="rId4"/>
    <sheet name="消费分类" sheetId="5" r:id="rId5"/>
  </sheets>
  <definedNames>
    <definedName name="_xlnm._FilterDatabase" localSheetId="1" hidden="1">收入!$A$1:$E$45</definedName>
    <definedName name="_xlnm._FilterDatabase" localSheetId="0" hidden="1">支出!$A$1:$C$650</definedName>
    <definedName name="_xlnm.Extract" localSheetId="0">支出!#REF!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" i="4" l="1"/>
  <c r="Z38" i="12"/>
  <c r="AA38" i="12" s="1"/>
  <c r="X38" i="12"/>
  <c r="Y38" i="12"/>
  <c r="V38" i="12"/>
  <c r="W38" i="12"/>
  <c r="AA37" i="12" l="1"/>
  <c r="Z37" i="12"/>
  <c r="Y37" i="12"/>
  <c r="X37" i="12"/>
  <c r="W37" i="12"/>
  <c r="V37" i="12"/>
  <c r="V36" i="12"/>
  <c r="W36" i="12"/>
  <c r="X36" i="12"/>
  <c r="Y36" i="12" s="1"/>
  <c r="Z36" i="12"/>
  <c r="AA36" i="12" s="1"/>
  <c r="AA35" i="12" l="1"/>
  <c r="Z35" i="12"/>
  <c r="Y35" i="12"/>
  <c r="X35" i="12"/>
  <c r="W35" i="12"/>
  <c r="V35" i="12"/>
  <c r="Z34" i="12" l="1"/>
  <c r="AA34" i="12" s="1"/>
  <c r="Y34" i="12"/>
  <c r="X34" i="12"/>
  <c r="W34" i="12"/>
  <c r="V34" i="12"/>
  <c r="AA33" i="12" l="1"/>
  <c r="Z33" i="12"/>
  <c r="Y33" i="12"/>
  <c r="X33" i="12"/>
  <c r="W33" i="12"/>
  <c r="V33" i="12"/>
  <c r="Z32" i="12" l="1"/>
  <c r="AA32" i="12" s="1"/>
  <c r="X32" i="12"/>
  <c r="Y32" i="12" s="1"/>
  <c r="W32" i="12"/>
  <c r="V32" i="12"/>
  <c r="Z31" i="12" l="1"/>
  <c r="AA31" i="12" s="1"/>
  <c r="X31" i="12"/>
  <c r="Y31" i="12" s="1"/>
  <c r="W31" i="12"/>
  <c r="V31" i="12"/>
  <c r="AA30" i="12" l="1"/>
  <c r="Z30" i="12"/>
  <c r="Y30" i="12"/>
  <c r="X30" i="12"/>
  <c r="W30" i="12"/>
  <c r="V30" i="12"/>
  <c r="AA29" i="12" l="1"/>
  <c r="Z28" i="12"/>
  <c r="AA28" i="12"/>
  <c r="Z29" i="12"/>
  <c r="X29" i="12"/>
  <c r="Y29" i="12" s="1"/>
  <c r="D3" i="14"/>
  <c r="W29" i="12"/>
  <c r="V29" i="12"/>
  <c r="W28" i="12" l="1"/>
  <c r="X28" i="12"/>
  <c r="Y28" i="12" s="1"/>
  <c r="V28" i="12"/>
  <c r="Z27" i="12" l="1"/>
  <c r="X27" i="12"/>
  <c r="Y27" i="12" s="1"/>
  <c r="W27" i="12"/>
  <c r="V27" i="12"/>
  <c r="Z26" i="12" l="1"/>
  <c r="X26" i="12"/>
  <c r="Y26" i="12" s="1"/>
  <c r="W26" i="12"/>
  <c r="V26" i="12"/>
  <c r="B7" i="14" l="1"/>
  <c r="D2" i="14"/>
  <c r="D4" i="14"/>
  <c r="D6" i="14"/>
  <c r="W25" i="12"/>
  <c r="X25" i="12"/>
  <c r="Y25" i="12" s="1"/>
  <c r="V25" i="12"/>
  <c r="X24" i="12"/>
  <c r="Y24" i="12" s="1"/>
  <c r="W24" i="12"/>
  <c r="V24" i="12"/>
  <c r="X23" i="12" l="1"/>
  <c r="Y23" i="12" s="1"/>
  <c r="V23" i="12"/>
  <c r="W23" i="12"/>
  <c r="V22" i="12" l="1"/>
  <c r="W22" i="12"/>
  <c r="X22" i="12"/>
  <c r="Y22" i="12" s="1"/>
  <c r="X21" i="12" l="1"/>
  <c r="Y21" i="12" s="1"/>
  <c r="V21" i="12" l="1"/>
  <c r="W21" i="12"/>
  <c r="V20" i="12" l="1"/>
  <c r="W20" i="12"/>
  <c r="X20" i="12"/>
  <c r="Y20" i="12" s="1"/>
  <c r="X5" i="12" l="1"/>
  <c r="Y5" i="12" s="1"/>
  <c r="X6" i="12"/>
  <c r="Y6" i="12" s="1"/>
  <c r="X7" i="12"/>
  <c r="Y7" i="12" s="1"/>
  <c r="X8" i="12"/>
  <c r="Y8" i="12" s="1"/>
  <c r="X9" i="12"/>
  <c r="Y9" i="12" s="1"/>
  <c r="X10" i="12"/>
  <c r="Y10" i="12" s="1"/>
  <c r="X11" i="12"/>
  <c r="Y11" i="12" s="1"/>
  <c r="X12" i="12"/>
  <c r="Y12" i="12" s="1"/>
  <c r="X13" i="12"/>
  <c r="Y13" i="12" s="1"/>
  <c r="X14" i="12"/>
  <c r="Y14" i="12" s="1"/>
  <c r="X15" i="12"/>
  <c r="Y15" i="12" s="1"/>
  <c r="X16" i="12"/>
  <c r="Y16" i="12" s="1"/>
  <c r="X17" i="12"/>
  <c r="Y17" i="12" s="1"/>
  <c r="X18" i="12"/>
  <c r="Y18" i="12" s="1"/>
  <c r="X19" i="12"/>
  <c r="Y19" i="12" s="1"/>
  <c r="X4" i="12"/>
  <c r="Y4" i="12" s="1"/>
  <c r="W5" i="12"/>
  <c r="W6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4" i="12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4" i="12"/>
  <c r="C7" i="14" l="1"/>
  <c r="D5" i="14"/>
  <c r="D7" i="14" s="1"/>
</calcChain>
</file>

<file path=xl/sharedStrings.xml><?xml version="1.0" encoding="utf-8"?>
<sst xmlns="http://schemas.openxmlformats.org/spreadsheetml/2006/main" count="1562" uniqueCount="608">
  <si>
    <t>微信</t>
  </si>
  <si>
    <t>支付宝</t>
  </si>
  <si>
    <t>工商</t>
  </si>
  <si>
    <t>建行</t>
  </si>
  <si>
    <t>光大</t>
  </si>
  <si>
    <t>农信</t>
  </si>
  <si>
    <t>农行</t>
  </si>
  <si>
    <t>花呗</t>
    <phoneticPr fontId="1" type="noConversion"/>
  </si>
  <si>
    <t>白条</t>
    <phoneticPr fontId="1" type="noConversion"/>
  </si>
  <si>
    <t>日期</t>
    <phoneticPr fontId="1" type="noConversion"/>
  </si>
  <si>
    <t>美团月付</t>
    <phoneticPr fontId="1" type="noConversion"/>
  </si>
  <si>
    <t>抖音月付</t>
    <phoneticPr fontId="1" type="noConversion"/>
  </si>
  <si>
    <t>浦发</t>
    <phoneticPr fontId="1" type="noConversion"/>
  </si>
  <si>
    <t>借出</t>
    <phoneticPr fontId="1" type="noConversion"/>
  </si>
  <si>
    <t>资金源头</t>
    <phoneticPr fontId="1" type="noConversion"/>
  </si>
  <si>
    <t>日期</t>
    <phoneticPr fontId="1" type="noConversion"/>
  </si>
  <si>
    <t>金额</t>
    <phoneticPr fontId="1" type="noConversion"/>
  </si>
  <si>
    <t>支付通道</t>
    <phoneticPr fontId="1" type="noConversion"/>
  </si>
  <si>
    <t>开销类别1</t>
    <phoneticPr fontId="1" type="noConversion"/>
  </si>
  <si>
    <t>开销类别2</t>
    <phoneticPr fontId="1" type="noConversion"/>
  </si>
  <si>
    <t>开销类别3</t>
    <phoneticPr fontId="1" type="noConversion"/>
  </si>
  <si>
    <t>微信</t>
    <phoneticPr fontId="1" type="noConversion"/>
  </si>
  <si>
    <t>支付宝</t>
    <phoneticPr fontId="1" type="noConversion"/>
  </si>
  <si>
    <t>美团月付</t>
    <phoneticPr fontId="1" type="noConversion"/>
  </si>
  <si>
    <t>抖音月付</t>
    <phoneticPr fontId="1" type="noConversion"/>
  </si>
  <si>
    <t>基本开销</t>
    <phoneticPr fontId="1" type="noConversion"/>
  </si>
  <si>
    <t>其他开销</t>
    <phoneticPr fontId="1" type="noConversion"/>
  </si>
  <si>
    <t>房租</t>
    <phoneticPr fontId="1" type="noConversion"/>
  </si>
  <si>
    <t>水电</t>
    <phoneticPr fontId="1" type="noConversion"/>
  </si>
  <si>
    <t>物业</t>
    <phoneticPr fontId="1" type="noConversion"/>
  </si>
  <si>
    <t>宽带</t>
    <phoneticPr fontId="1" type="noConversion"/>
  </si>
  <si>
    <t>话费</t>
    <phoneticPr fontId="1" type="noConversion"/>
  </si>
  <si>
    <t>日期</t>
    <phoneticPr fontId="1" type="noConversion"/>
  </si>
  <si>
    <t>金额</t>
    <phoneticPr fontId="1" type="noConversion"/>
  </si>
  <si>
    <t>说明</t>
    <phoneticPr fontId="1" type="noConversion"/>
  </si>
  <si>
    <t>收款通道</t>
    <phoneticPr fontId="1" type="noConversion"/>
  </si>
  <si>
    <t>浦发银行卡</t>
    <phoneticPr fontId="1" type="noConversion"/>
  </si>
  <si>
    <t>微信</t>
    <phoneticPr fontId="1" type="noConversion"/>
  </si>
  <si>
    <t>微信</t>
    <phoneticPr fontId="1" type="noConversion"/>
  </si>
  <si>
    <t>上班通勤</t>
    <phoneticPr fontId="1" type="noConversion"/>
  </si>
  <si>
    <t>其他出行</t>
    <phoneticPr fontId="1" type="noConversion"/>
  </si>
  <si>
    <t>三餐</t>
    <phoneticPr fontId="1" type="noConversion"/>
  </si>
  <si>
    <t>7月工资</t>
    <phoneticPr fontId="1" type="noConversion"/>
  </si>
  <si>
    <t>微信</t>
    <phoneticPr fontId="1" type="noConversion"/>
  </si>
  <si>
    <t>其他饮食</t>
    <phoneticPr fontId="1" type="noConversion"/>
  </si>
  <si>
    <t>支付宝</t>
    <phoneticPr fontId="1" type="noConversion"/>
  </si>
  <si>
    <t>支付宝</t>
    <phoneticPr fontId="1" type="noConversion"/>
  </si>
  <si>
    <t>饮用水</t>
    <phoneticPr fontId="1" type="noConversion"/>
  </si>
  <si>
    <t>买衣服</t>
    <phoneticPr fontId="1" type="noConversion"/>
  </si>
  <si>
    <t>食</t>
  </si>
  <si>
    <t>食</t>
    <phoneticPr fontId="1" type="noConversion"/>
  </si>
  <si>
    <t>衣</t>
  </si>
  <si>
    <t>衣</t>
    <phoneticPr fontId="1" type="noConversion"/>
  </si>
  <si>
    <t>住</t>
  </si>
  <si>
    <t>住</t>
    <phoneticPr fontId="1" type="noConversion"/>
  </si>
  <si>
    <t>行</t>
    <phoneticPr fontId="1" type="noConversion"/>
  </si>
  <si>
    <t>通讯</t>
  </si>
  <si>
    <t>通讯</t>
    <phoneticPr fontId="1" type="noConversion"/>
  </si>
  <si>
    <t>早餐</t>
    <phoneticPr fontId="1" type="noConversion"/>
  </si>
  <si>
    <t>午餐</t>
    <phoneticPr fontId="1" type="noConversion"/>
  </si>
  <si>
    <t>晚餐</t>
    <phoneticPr fontId="1" type="noConversion"/>
  </si>
  <si>
    <t>微信</t>
    <phoneticPr fontId="1" type="noConversion"/>
  </si>
  <si>
    <t>微信</t>
    <phoneticPr fontId="1" type="noConversion"/>
  </si>
  <si>
    <t>共享单车</t>
    <phoneticPr fontId="1" type="noConversion"/>
  </si>
  <si>
    <t>微信</t>
    <phoneticPr fontId="1" type="noConversion"/>
  </si>
  <si>
    <t>羽毛球场地费</t>
    <phoneticPr fontId="1" type="noConversion"/>
  </si>
  <si>
    <t>微信</t>
    <phoneticPr fontId="1" type="noConversion"/>
  </si>
  <si>
    <t>支付宝</t>
    <phoneticPr fontId="1" type="noConversion"/>
  </si>
  <si>
    <t>微信</t>
    <phoneticPr fontId="1" type="noConversion"/>
  </si>
  <si>
    <t>收舍友水电费</t>
    <phoneticPr fontId="1" type="noConversion"/>
  </si>
  <si>
    <t>微信</t>
    <phoneticPr fontId="1" type="noConversion"/>
  </si>
  <si>
    <t>支付宝</t>
    <phoneticPr fontId="1" type="noConversion"/>
  </si>
  <si>
    <t>微信</t>
    <phoneticPr fontId="1" type="noConversion"/>
  </si>
  <si>
    <t>微信</t>
    <phoneticPr fontId="1" type="noConversion"/>
  </si>
  <si>
    <t>宵夜</t>
    <phoneticPr fontId="1" type="noConversion"/>
  </si>
  <si>
    <t>微信</t>
    <phoneticPr fontId="1" type="noConversion"/>
  </si>
  <si>
    <t>买羽毛球</t>
  </si>
  <si>
    <t>微信</t>
    <phoneticPr fontId="1" type="noConversion"/>
  </si>
  <si>
    <t>支付宝</t>
    <phoneticPr fontId="1" type="noConversion"/>
  </si>
  <si>
    <t>基本开销</t>
    <phoneticPr fontId="1" type="noConversion"/>
  </si>
  <si>
    <t>微信</t>
    <phoneticPr fontId="1" type="noConversion"/>
  </si>
  <si>
    <t>桶装水</t>
    <phoneticPr fontId="1" type="noConversion"/>
  </si>
  <si>
    <t>零食饮料</t>
    <phoneticPr fontId="1" type="noConversion"/>
  </si>
  <si>
    <t>考试报名费</t>
    <phoneticPr fontId="1" type="noConversion"/>
  </si>
  <si>
    <t>其他开销</t>
    <phoneticPr fontId="1" type="noConversion"/>
  </si>
  <si>
    <t>热水壶</t>
    <phoneticPr fontId="1" type="noConversion"/>
  </si>
  <si>
    <t>鞋架</t>
    <phoneticPr fontId="1" type="noConversion"/>
  </si>
  <si>
    <t>生活用品</t>
    <phoneticPr fontId="1" type="noConversion"/>
  </si>
  <si>
    <t>邮费</t>
    <phoneticPr fontId="1" type="noConversion"/>
  </si>
  <si>
    <t>羽毛球球费</t>
    <phoneticPr fontId="1" type="noConversion"/>
  </si>
  <si>
    <t>买羽毛球</t>
    <phoneticPr fontId="1" type="noConversion"/>
  </si>
  <si>
    <t>打车</t>
    <phoneticPr fontId="1" type="noConversion"/>
  </si>
  <si>
    <t>公交卡充值</t>
    <phoneticPr fontId="1" type="noConversion"/>
  </si>
  <si>
    <t>网络平台会员</t>
    <phoneticPr fontId="1" type="noConversion"/>
  </si>
  <si>
    <t>行</t>
    <phoneticPr fontId="1" type="noConversion"/>
  </si>
  <si>
    <t>微信</t>
    <phoneticPr fontId="1" type="noConversion"/>
  </si>
  <si>
    <t>微信</t>
    <phoneticPr fontId="1" type="noConversion"/>
  </si>
  <si>
    <t>支付宝</t>
    <phoneticPr fontId="1" type="noConversion"/>
  </si>
  <si>
    <t>生日请吃鸡公煲</t>
  </si>
  <si>
    <t>支付宝</t>
    <phoneticPr fontId="1" type="noConversion"/>
  </si>
  <si>
    <t>羽毛球退款</t>
    <phoneticPr fontId="1" type="noConversion"/>
  </si>
  <si>
    <t>微信</t>
    <phoneticPr fontId="1" type="noConversion"/>
  </si>
  <si>
    <t>微信</t>
    <phoneticPr fontId="1" type="noConversion"/>
  </si>
  <si>
    <t>白条</t>
    <phoneticPr fontId="1" type="noConversion"/>
  </si>
  <si>
    <t>高温补贴</t>
    <phoneticPr fontId="1" type="noConversion"/>
  </si>
  <si>
    <t>微信</t>
    <phoneticPr fontId="1" type="noConversion"/>
  </si>
  <si>
    <t>微信</t>
    <phoneticPr fontId="1" type="noConversion"/>
  </si>
  <si>
    <t>手胶</t>
    <phoneticPr fontId="1" type="noConversion"/>
  </si>
  <si>
    <t>缓震膜</t>
    <phoneticPr fontId="1" type="noConversion"/>
  </si>
  <si>
    <t>研究生助学金</t>
    <phoneticPr fontId="1" type="noConversion"/>
  </si>
  <si>
    <t>工商银行卡</t>
    <phoneticPr fontId="1" type="noConversion"/>
  </si>
  <si>
    <t>微信</t>
    <phoneticPr fontId="1" type="noConversion"/>
  </si>
  <si>
    <t>pdd衣服退款</t>
    <phoneticPr fontId="1" type="noConversion"/>
  </si>
  <si>
    <t>微信</t>
    <phoneticPr fontId="1" type="noConversion"/>
  </si>
  <si>
    <t>微信</t>
    <phoneticPr fontId="1" type="noConversion"/>
  </si>
  <si>
    <t>支付宝</t>
    <phoneticPr fontId="1" type="noConversion"/>
  </si>
  <si>
    <t>支付宝</t>
    <phoneticPr fontId="1" type="noConversion"/>
  </si>
  <si>
    <t>买车钱</t>
    <phoneticPr fontId="1" type="noConversion"/>
  </si>
  <si>
    <t>6月实习工资</t>
    <phoneticPr fontId="1" type="noConversion"/>
  </si>
  <si>
    <t>羽毛球退款</t>
    <phoneticPr fontId="1" type="noConversion"/>
  </si>
  <si>
    <t>微信</t>
    <phoneticPr fontId="1" type="noConversion"/>
  </si>
  <si>
    <t>微信</t>
    <phoneticPr fontId="1" type="noConversion"/>
  </si>
  <si>
    <t>支付宝</t>
    <phoneticPr fontId="1" type="noConversion"/>
  </si>
  <si>
    <t>支付宝 退到花呗</t>
    <phoneticPr fontId="1" type="noConversion"/>
  </si>
  <si>
    <t>微信</t>
    <phoneticPr fontId="1" type="noConversion"/>
  </si>
  <si>
    <t>支付宝</t>
    <phoneticPr fontId="1" type="noConversion"/>
  </si>
  <si>
    <t>微信</t>
    <phoneticPr fontId="1" type="noConversion"/>
  </si>
  <si>
    <t>微信</t>
    <phoneticPr fontId="1" type="noConversion"/>
  </si>
  <si>
    <t>好评返现</t>
    <phoneticPr fontId="1" type="noConversion"/>
  </si>
  <si>
    <t>微信</t>
    <phoneticPr fontId="1" type="noConversion"/>
  </si>
  <si>
    <t>微信</t>
    <phoneticPr fontId="1" type="noConversion"/>
  </si>
  <si>
    <t>pdd邮费退还</t>
    <phoneticPr fontId="1" type="noConversion"/>
  </si>
  <si>
    <t>旧衣服回收</t>
    <phoneticPr fontId="1" type="noConversion"/>
  </si>
  <si>
    <t>微信</t>
    <phoneticPr fontId="1" type="noConversion"/>
  </si>
  <si>
    <t>支付宝</t>
    <phoneticPr fontId="1" type="noConversion"/>
  </si>
  <si>
    <t>微信</t>
    <phoneticPr fontId="1" type="noConversion"/>
  </si>
  <si>
    <t>支付宝</t>
    <phoneticPr fontId="1" type="noConversion"/>
  </si>
  <si>
    <t>支付宝</t>
    <phoneticPr fontId="1" type="noConversion"/>
  </si>
  <si>
    <t>类别</t>
    <phoneticPr fontId="1" type="noConversion"/>
  </si>
  <si>
    <t>收入</t>
    <phoneticPr fontId="1" type="noConversion"/>
  </si>
  <si>
    <t>收入</t>
    <phoneticPr fontId="1" type="noConversion"/>
  </si>
  <si>
    <t>收入 家里给</t>
    <phoneticPr fontId="1" type="noConversion"/>
  </si>
  <si>
    <t>微信</t>
    <phoneticPr fontId="1" type="noConversion"/>
  </si>
  <si>
    <t>支付宝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</si>
  <si>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</si>
  <si>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</si>
  <si>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</si>
  <si>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支付宝</t>
    <phoneticPr fontId="1" type="noConversion"/>
  </si>
  <si>
    <t>微信</t>
    <phoneticPr fontId="1" type="noConversion"/>
  </si>
  <si>
    <t>支付宝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</si>
  <si>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</si>
  <si>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</si>
  <si>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</si>
  <si>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</si>
  <si>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支付宝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</si>
  <si>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</si>
  <si>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</si>
  <si>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</si>
  <si>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</si>
  <si>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支付宝</t>
    <phoneticPr fontId="1" type="noConversion"/>
  </si>
  <si>
    <t>支付宝</t>
    <phoneticPr fontId="1" type="noConversion"/>
  </si>
  <si>
    <t>微信</t>
    <phoneticPr fontId="1" type="noConversion"/>
  </si>
  <si>
    <t>微信</t>
    <phoneticPr fontId="1" type="noConversion"/>
  </si>
  <si>
    <t>退回</t>
    <phoneticPr fontId="1" type="noConversion"/>
  </si>
  <si>
    <t>退回</t>
    <phoneticPr fontId="1" type="noConversion"/>
  </si>
  <si>
    <t>退回</t>
    <phoneticPr fontId="1" type="noConversion"/>
  </si>
  <si>
    <t>退回</t>
    <phoneticPr fontId="1" type="noConversion"/>
  </si>
  <si>
    <t>退回</t>
    <phoneticPr fontId="1" type="noConversion"/>
  </si>
  <si>
    <t>公司拍视频花费报销</t>
    <phoneticPr fontId="1" type="noConversion"/>
  </si>
  <si>
    <t>微信</t>
    <phoneticPr fontId="1" type="noConversion"/>
  </si>
  <si>
    <t>收入</t>
    <phoneticPr fontId="1" type="noConversion"/>
  </si>
  <si>
    <t>8月工资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</si>
  <si>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</si>
  <si>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</si>
  <si>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</si>
  <si>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支付宝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</si>
  <si>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</si>
  <si>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</si>
  <si>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</si>
  <si>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支付宝</t>
    <phoneticPr fontId="1" type="noConversion"/>
  </si>
  <si>
    <t>支付宝</t>
    <phoneticPr fontId="1" type="noConversion"/>
  </si>
  <si>
    <t>收入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</si>
  <si>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</si>
  <si>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</si>
  <si>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</si>
  <si>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</si>
  <si>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</si>
  <si>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</si>
  <si>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</si>
  <si>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支付宝</t>
    <phoneticPr fontId="1" type="noConversion"/>
  </si>
  <si>
    <t>支付宝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</si>
  <si>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</si>
  <si>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</si>
  <si>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</si>
  <si>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</si>
  <si>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</si>
  <si>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</si>
  <si>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</si>
  <si>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支付宝</t>
    <phoneticPr fontId="1" type="noConversion"/>
  </si>
  <si>
    <t>午餐</t>
  </si>
  <si>
    <t>晚餐</t>
  </si>
  <si>
    <t>收红包</t>
    <phoneticPr fontId="1" type="noConversion"/>
  </si>
  <si>
    <t>微信</t>
    <phoneticPr fontId="1" type="noConversion"/>
  </si>
  <si>
    <t>出差晚餐</t>
  </si>
  <si>
    <t>出差午餐</t>
  </si>
  <si>
    <t>抖音月付</t>
  </si>
  <si>
    <t>白条</t>
  </si>
  <si>
    <t>9月工资</t>
    <phoneticPr fontId="1" type="noConversion"/>
  </si>
  <si>
    <t>收入</t>
    <phoneticPr fontId="1" type="noConversion"/>
  </si>
  <si>
    <t>退回</t>
    <phoneticPr fontId="1" type="noConversion"/>
  </si>
  <si>
    <t>pdd衣服退款</t>
    <phoneticPr fontId="1" type="noConversion"/>
  </si>
  <si>
    <t>支付宝</t>
    <phoneticPr fontId="1" type="noConversion"/>
  </si>
  <si>
    <t>退回</t>
    <phoneticPr fontId="1" type="noConversion"/>
  </si>
  <si>
    <t>羽毛球收场地费</t>
    <phoneticPr fontId="1" type="noConversion"/>
  </si>
  <si>
    <t>微信</t>
    <phoneticPr fontId="1" type="noConversion"/>
  </si>
  <si>
    <t>京东钱包</t>
    <phoneticPr fontId="1" type="noConversion"/>
  </si>
  <si>
    <t>理财投资</t>
    <phoneticPr fontId="1" type="noConversion"/>
  </si>
  <si>
    <t>收入</t>
    <phoneticPr fontId="1" type="noConversion"/>
  </si>
  <si>
    <t>存款利息</t>
    <phoneticPr fontId="1" type="noConversion"/>
  </si>
  <si>
    <t>农信银行卡</t>
    <phoneticPr fontId="1" type="noConversion"/>
  </si>
  <si>
    <t>微信</t>
    <phoneticPr fontId="1" type="noConversion"/>
  </si>
  <si>
    <t>半年鑫最短持有期18号A</t>
    <phoneticPr fontId="1" type="noConversion"/>
  </si>
  <si>
    <t>收入</t>
    <phoneticPr fontId="1" type="noConversion"/>
  </si>
  <si>
    <t>出差报销</t>
    <phoneticPr fontId="1" type="noConversion"/>
  </si>
  <si>
    <t>余额宝</t>
    <phoneticPr fontId="1" type="noConversion"/>
  </si>
  <si>
    <t>浦发银行卡</t>
  </si>
  <si>
    <t>浦发银行卡</t>
    <phoneticPr fontId="1" type="noConversion"/>
  </si>
  <si>
    <t>工商银行积存贵金属</t>
    <phoneticPr fontId="1" type="noConversion"/>
  </si>
  <si>
    <t>收入</t>
    <phoneticPr fontId="1" type="noConversion"/>
  </si>
  <si>
    <t>国庆过节费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</si>
  <si>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</si>
  <si>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</si>
  <si>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</si>
  <si>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</si>
  <si>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支付宝</t>
    <phoneticPr fontId="1" type="noConversion"/>
  </si>
  <si>
    <t>支付宝</t>
    <phoneticPr fontId="1" type="noConversion"/>
  </si>
  <si>
    <t>通知存款</t>
    <phoneticPr fontId="1" type="noConversion"/>
  </si>
  <si>
    <t>定期存款</t>
    <phoneticPr fontId="1" type="noConversion"/>
  </si>
  <si>
    <t>抵押</t>
    <phoneticPr fontId="1" type="noConversion"/>
  </si>
  <si>
    <t>合计(流动)</t>
    <phoneticPr fontId="1" type="noConversion"/>
  </si>
  <si>
    <t>合计(含存款)</t>
    <phoneticPr fontId="1" type="noConversion"/>
  </si>
  <si>
    <t>产品名称</t>
    <phoneticPr fontId="1" type="noConversion"/>
  </si>
  <si>
    <t>金额</t>
    <phoneticPr fontId="1" type="noConversion"/>
  </si>
  <si>
    <t>收入</t>
    <phoneticPr fontId="1" type="noConversion"/>
  </si>
  <si>
    <t>10月工资</t>
    <phoneticPr fontId="1" type="noConversion"/>
  </si>
  <si>
    <t>农行卡</t>
  </si>
  <si>
    <t>农行卡</t>
    <phoneticPr fontId="1" type="noConversion"/>
  </si>
  <si>
    <t>退回</t>
    <phoneticPr fontId="1" type="noConversion"/>
  </si>
  <si>
    <t>李宁g900退款</t>
    <phoneticPr fontId="1" type="noConversion"/>
  </si>
  <si>
    <t>支付宝</t>
    <phoneticPr fontId="1" type="noConversion"/>
  </si>
  <si>
    <t>易方达港股通科技混合C</t>
    <phoneticPr fontId="1" type="noConversion"/>
  </si>
  <si>
    <t>微信</t>
    <phoneticPr fontId="1" type="noConversion"/>
  </si>
  <si>
    <t>抖音月付</t>
    <phoneticPr fontId="1" type="noConversion"/>
  </si>
  <si>
    <t>收入</t>
    <phoneticPr fontId="1" type="noConversion"/>
  </si>
  <si>
    <t>理财收益</t>
    <phoneticPr fontId="1" type="noConversion"/>
  </si>
  <si>
    <t>理财收益 浦发灵活+</t>
    <phoneticPr fontId="1" type="noConversion"/>
  </si>
  <si>
    <t>到期日</t>
    <phoneticPr fontId="1" type="noConversion"/>
  </si>
  <si>
    <t>合计(除抵押)</t>
    <phoneticPr fontId="1" type="noConversion"/>
  </si>
  <si>
    <t>支付宝</t>
    <phoneticPr fontId="1" type="noConversion"/>
  </si>
  <si>
    <t>抖音买鞋子退款</t>
    <phoneticPr fontId="1" type="noConversion"/>
  </si>
  <si>
    <t>抖音买裤子退款</t>
    <phoneticPr fontId="1" type="noConversion"/>
  </si>
  <si>
    <t>抖音月付</t>
    <phoneticPr fontId="1" type="noConversion"/>
  </si>
  <si>
    <t>京东买手镯退款</t>
    <phoneticPr fontId="1" type="noConversion"/>
  </si>
  <si>
    <t>白条</t>
    <phoneticPr fontId="1" type="noConversion"/>
  </si>
  <si>
    <t>收入</t>
    <phoneticPr fontId="1" type="noConversion"/>
  </si>
  <si>
    <t>投资收益</t>
    <phoneticPr fontId="1" type="noConversion"/>
  </si>
  <si>
    <t>工商银行卡</t>
    <phoneticPr fontId="1" type="noConversion"/>
  </si>
  <si>
    <t>浦发银行卡</t>
    <phoneticPr fontId="1" type="noConversion"/>
  </si>
  <si>
    <t>存款利息</t>
    <phoneticPr fontId="1" type="noConversion"/>
  </si>
  <si>
    <t>农信银行卡</t>
    <phoneticPr fontId="1" type="noConversion"/>
  </si>
  <si>
    <t>浙商银行积存贵金属</t>
    <phoneticPr fontId="1" type="noConversion"/>
  </si>
  <si>
    <t>易方达黄金</t>
    <phoneticPr fontId="1" type="noConversion"/>
  </si>
  <si>
    <t>所有合计条目已减去负债</t>
    <phoneticPr fontId="1" type="noConversion"/>
  </si>
  <si>
    <t>mine</t>
    <phoneticPr fontId="1" type="noConversion"/>
  </si>
  <si>
    <t>退回</t>
    <phoneticPr fontId="1" type="noConversion"/>
  </si>
  <si>
    <t>微信</t>
    <phoneticPr fontId="1" type="noConversion"/>
  </si>
  <si>
    <t>转我飞索门票钱</t>
    <phoneticPr fontId="1" type="noConversion"/>
  </si>
  <si>
    <t>美团月付</t>
  </si>
  <si>
    <t>支付宝</t>
    <phoneticPr fontId="1" type="noConversion"/>
  </si>
  <si>
    <t>现值</t>
    <phoneticPr fontId="1" type="noConversion"/>
  </si>
  <si>
    <t>差额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</si>
  <si>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</si>
  <si>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</si>
  <si>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</si>
  <si>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</si>
  <si>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</si>
  <si>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收入</t>
    <phoneticPr fontId="1" type="noConversion"/>
  </si>
  <si>
    <t>11月工资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</si>
  <si>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</si>
  <si>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</si>
  <si>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</si>
  <si>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</si>
  <si>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</si>
  <si>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</si>
  <si>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</si>
  <si>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</si>
  <si>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</si>
  <si>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</si>
  <si>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收入</t>
    <phoneticPr fontId="1" type="noConversion"/>
  </si>
  <si>
    <t>老妈发红包</t>
    <phoneticPr fontId="1" type="noConversion"/>
  </si>
  <si>
    <t>易方达黄金卖出收益</t>
    <phoneticPr fontId="1" type="noConversion"/>
  </si>
  <si>
    <t>支付宝</t>
    <phoneticPr fontId="1" type="noConversion"/>
  </si>
  <si>
    <t>合计(真实)</t>
    <phoneticPr fontId="1" type="noConversion"/>
  </si>
  <si>
    <t>mine(真实)</t>
    <phoneticPr fontId="1" type="noConversion"/>
  </si>
  <si>
    <t>支付宝</t>
    <phoneticPr fontId="1" type="noConversion"/>
  </si>
  <si>
    <t>支付宝</t>
    <phoneticPr fontId="1" type="noConversion"/>
  </si>
  <si>
    <t>支付宝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</si>
  <si>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</si>
  <si>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</si>
  <si>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</si>
  <si>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</si>
  <si>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</si>
  <si>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12月工资</t>
    <phoneticPr fontId="1" type="noConversion"/>
  </si>
  <si>
    <t>支付宝</t>
    <phoneticPr fontId="1" type="noConversion"/>
  </si>
  <si>
    <t>支付宝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</si>
  <si>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</si>
  <si>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</si>
  <si>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</si>
  <si>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</si>
  <si>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</si>
  <si>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支付宝</t>
    <phoneticPr fontId="1" type="noConversion"/>
  </si>
  <si>
    <t>支付宝</t>
    <phoneticPr fontId="1" type="noConversion"/>
  </si>
  <si>
    <t>支付宝</t>
    <phoneticPr fontId="1" type="noConversion"/>
  </si>
  <si>
    <t>支付宝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</si>
  <si>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</si>
  <si>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</si>
  <si>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</si>
  <si>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</si>
  <si>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白条</t>
    <phoneticPr fontId="1" type="noConversion"/>
  </si>
  <si>
    <t>白条</t>
    <phoneticPr fontId="1" type="noConversion"/>
  </si>
  <si>
    <t>公牛排插</t>
    <phoneticPr fontId="1" type="noConversion"/>
  </si>
  <si>
    <t>白条</t>
    <phoneticPr fontId="1" type="noConversion"/>
  </si>
  <si>
    <t>微信</t>
    <phoneticPr fontId="1" type="noConversion"/>
  </si>
  <si>
    <t>微信</t>
    <phoneticPr fontId="1" type="noConversion"/>
  </si>
  <si>
    <t>窝趣退押金</t>
    <phoneticPr fontId="1" type="noConversion"/>
  </si>
  <si>
    <t>助学金</t>
    <phoneticPr fontId="1" type="noConversion"/>
  </si>
  <si>
    <t>建行银行卡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</si>
  <si>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</si>
  <si>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</si>
  <si>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</si>
  <si>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</si>
  <si>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哈啰单车骑行卡</t>
    <phoneticPr fontId="1" type="noConversion"/>
  </si>
  <si>
    <t>收益</t>
    <phoneticPr fontId="1" type="noConversion"/>
  </si>
  <si>
    <t>支付宝</t>
    <phoneticPr fontId="1" type="noConversion"/>
  </si>
  <si>
    <t>支付宝</t>
    <phoneticPr fontId="1" type="noConversion"/>
  </si>
  <si>
    <t>微信</t>
    <phoneticPr fontId="1" type="noConversion"/>
  </si>
  <si>
    <t>家里给</t>
    <phoneticPr fontId="1" type="noConversion"/>
  </si>
  <si>
    <t>微信</t>
    <phoneticPr fontId="1" type="noConversion"/>
  </si>
  <si>
    <t>老妈发红包</t>
    <phoneticPr fontId="1" type="noConversion"/>
  </si>
  <si>
    <t>退回</t>
    <phoneticPr fontId="1" type="noConversion"/>
  </si>
  <si>
    <t>文创店买东西报销</t>
    <phoneticPr fontId="1" type="noConversion"/>
  </si>
  <si>
    <t>收入</t>
    <phoneticPr fontId="1" type="noConversion"/>
  </si>
  <si>
    <t>1月工资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</si>
  <si>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</si>
  <si>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</si>
  <si>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</si>
  <si>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</si>
  <si>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支付宝</t>
    <phoneticPr fontId="1" type="noConversion"/>
  </si>
  <si>
    <t>支付宝</t>
    <phoneticPr fontId="1" type="noConversion"/>
  </si>
  <si>
    <t>白条</t>
    <phoneticPr fontId="1" type="noConversion"/>
  </si>
  <si>
    <t>支付宝</t>
    <phoneticPr fontId="1" type="noConversion"/>
  </si>
  <si>
    <t>花呗</t>
    <phoneticPr fontId="1" type="noConversion"/>
  </si>
  <si>
    <t>白条</t>
    <phoneticPr fontId="1" type="noConversion"/>
  </si>
  <si>
    <t>美团月付</t>
    <phoneticPr fontId="1" type="noConversion"/>
  </si>
  <si>
    <t>抖音月付</t>
    <phoneticPr fontId="1" type="noConversion"/>
  </si>
  <si>
    <t>抖音放心借</t>
    <phoneticPr fontId="1" type="noConversion"/>
  </si>
  <si>
    <t>说明</t>
  </si>
  <si>
    <t>京东外卖</t>
  </si>
  <si>
    <t>共享单车</t>
  </si>
  <si>
    <t>打车回宿舍</t>
  </si>
  <si>
    <t>京东买正装裤子</t>
  </si>
  <si>
    <t>羽毛球服</t>
  </si>
  <si>
    <t>买2桶羽毛球</t>
  </si>
  <si>
    <t>早上打车上班</t>
  </si>
  <si>
    <t>晚上打车下班</t>
  </si>
  <si>
    <t>京东买热水壶</t>
  </si>
  <si>
    <t>上下班打车</t>
  </si>
  <si>
    <t>京东买薄荷糖</t>
  </si>
  <si>
    <t>下午下班地铁口共享单车回宿舍</t>
  </si>
  <si>
    <t>晚饭 京东外卖</t>
  </si>
  <si>
    <t>出去打羽毛球骑共享单车</t>
  </si>
  <si>
    <t>打羽毛球时买饮料</t>
  </si>
  <si>
    <t>打羽毛球回来路上买饮料</t>
  </si>
  <si>
    <t>羽毛球场地费</t>
  </si>
  <si>
    <t>京东买鞋架</t>
  </si>
  <si>
    <t>淘宝点外卖</t>
  </si>
  <si>
    <t>共享单车去上班</t>
  </si>
  <si>
    <t>QQ音乐自动续费</t>
  </si>
  <si>
    <t>岭南通充值</t>
  </si>
  <si>
    <t>午餐淘宝闪购外卖</t>
  </si>
  <si>
    <t>美团买6L怡宝</t>
  </si>
  <si>
    <t>教师资格证报名费</t>
  </si>
  <si>
    <t>买了一桶羽毛球（7/14退款了）</t>
  </si>
  <si>
    <t>购买毛巾和沐浴露</t>
  </si>
  <si>
    <t>PDD省钱卡</t>
  </si>
  <si>
    <t>买了一桶羽毛球</t>
  </si>
  <si>
    <t>买了一桶羽毛球（7/22退款）</t>
  </si>
  <si>
    <t>空气清新剂</t>
  </si>
  <si>
    <t>身份证邮费</t>
  </si>
  <si>
    <t>买羽毛球（7/22退款）</t>
  </si>
  <si>
    <t>pdd买魔法士 先用后付</t>
  </si>
  <si>
    <t>1.25L可乐 生日请吃鸡公煲</t>
  </si>
  <si>
    <t>生日请吃鸡公煲 第三个堡</t>
  </si>
  <si>
    <t>浦发行服 （7/21退款了）</t>
  </si>
  <si>
    <t>京东外卖 微信返现5块 已合并计算</t>
  </si>
  <si>
    <t>抖音买面包</t>
  </si>
  <si>
    <t>买工作服 pdd 先用后付</t>
  </si>
  <si>
    <t>pdd 羽毛球拍缓震膜</t>
  </si>
  <si>
    <t>便利店买早餐</t>
  </si>
  <si>
    <t>京东买牙膏</t>
  </si>
  <si>
    <t>京东点外卖</t>
  </si>
  <si>
    <t>pdd退货邮费（7/22退还）</t>
  </si>
  <si>
    <t>淘宝点蜜雪冰城</t>
  </si>
  <si>
    <t>淘宝退货的包装费</t>
  </si>
  <si>
    <t>请舍友吃饭</t>
  </si>
  <si>
    <t>打台球</t>
  </si>
  <si>
    <t>抖音买瑜伽垫</t>
  </si>
  <si>
    <t>麦当劳</t>
  </si>
  <si>
    <t>共享单车骑行卡</t>
  </si>
  <si>
    <t>京东点外卖 微信返现5块 已合并计算</t>
  </si>
  <si>
    <t>淘宝买 苗肤清 脚气药</t>
  </si>
  <si>
    <t>便利店买饮料</t>
  </si>
  <si>
    <t>椅子坐垫</t>
  </si>
  <si>
    <t>京东买皮带</t>
  </si>
  <si>
    <t>抖音买自粘绷带</t>
  </si>
  <si>
    <t>京东点外卖（有返现已合并计算）</t>
  </si>
  <si>
    <t>pdd买浦发行服短袖 先用后付</t>
  </si>
  <si>
    <t>7月水电+物业</t>
  </si>
  <si>
    <t>打羽毛球买饮料</t>
  </si>
  <si>
    <t>陈家祠门票</t>
  </si>
  <si>
    <t>公司拍视频打车</t>
  </si>
  <si>
    <t>打车去分行培训</t>
  </si>
  <si>
    <t>买鞋刷</t>
  </si>
  <si>
    <t>QQ音乐会员</t>
  </si>
  <si>
    <t>京东买素毛肚</t>
  </si>
  <si>
    <t>京东买玉米肠</t>
  </si>
  <si>
    <t>给159充话费</t>
  </si>
  <si>
    <t>买早餐</t>
  </si>
  <si>
    <t>出外勤早餐买肠粉</t>
  </si>
  <si>
    <t>出外勤买水</t>
  </si>
  <si>
    <t>买云南白药喷雾</t>
  </si>
  <si>
    <t>哈罗共享单车开卡</t>
  </si>
  <si>
    <t>晚餐翱翔球馆附近买鸡蛋仔</t>
  </si>
  <si>
    <t>打球回来买雪碧</t>
  </si>
  <si>
    <t>淘宝买pikpak会员</t>
  </si>
  <si>
    <t>尔湾云充值</t>
  </si>
  <si>
    <t>买饮料</t>
  </si>
  <si>
    <t>打完球吃饭买大瓶可乐</t>
  </si>
  <si>
    <t>京东买洁厕灵和马桶刷</t>
  </si>
  <si>
    <t>出外勤买早餐</t>
  </si>
  <si>
    <t>pdd买零食 先用后付</t>
  </si>
  <si>
    <t>京东买6L怡宝</t>
  </si>
  <si>
    <t>京东买沐浴露</t>
  </si>
  <si>
    <t>羽毛球球费</t>
  </si>
  <si>
    <t>打完羽毛球买饮料</t>
  </si>
  <si>
    <t>出差宵夜</t>
  </si>
  <si>
    <t>打顺风车高速费</t>
  </si>
  <si>
    <t>八合里牛肉火锅</t>
  </si>
  <si>
    <t>9月水电+物业</t>
  </si>
  <si>
    <t>京东点外卖先用后付</t>
  </si>
  <si>
    <t>团费</t>
  </si>
  <si>
    <t>羽毛球线和羽毛球袜</t>
  </si>
  <si>
    <t>显示器转换器</t>
  </si>
  <si>
    <t>饮水机打水</t>
  </si>
  <si>
    <t>冰块</t>
  </si>
  <si>
    <t>京东买药</t>
  </si>
  <si>
    <t>打完羽毛球吃晚饭</t>
  </si>
  <si>
    <t>买羽毛球服</t>
  </si>
  <si>
    <t>打完羽毛球喝糖水</t>
  </si>
  <si>
    <t>京东买雨伞</t>
  </si>
  <si>
    <t>漂白剂</t>
  </si>
  <si>
    <t>抖音买双面胶</t>
  </si>
  <si>
    <t>pdd买桌面显示器增高架</t>
  </si>
  <si>
    <t>网易云会员</t>
  </si>
  <si>
    <t>pdd退款运费</t>
  </si>
  <si>
    <t>嘉记瓦缸烧鹅</t>
  </si>
  <si>
    <t>菠萝啤</t>
  </si>
  <si>
    <t>京东 宏香记 牛肉豆脯</t>
  </si>
  <si>
    <t>给人赞赏</t>
  </si>
  <si>
    <t>浦发APP买牙膏</t>
  </si>
  <si>
    <t>ATM取现</t>
  </si>
  <si>
    <t>培训完花城汇吃晚饭</t>
  </si>
  <si>
    <t>珠江新城买早餐</t>
  </si>
  <si>
    <t>给家里发红包</t>
  </si>
  <si>
    <t>大学城东北菜</t>
  </si>
  <si>
    <t>台风天买物资</t>
  </si>
  <si>
    <t>打羽毛球买水</t>
  </si>
  <si>
    <t>买洗发水</t>
  </si>
  <si>
    <t>羽毛球AS05</t>
  </si>
  <si>
    <t>京东买抽纸</t>
  </si>
  <si>
    <t>10月水电+物业</t>
  </si>
  <si>
    <t>给家人发红包</t>
  </si>
  <si>
    <t>买羽毛球李宁g900一桶</t>
  </si>
  <si>
    <t>转给老弟</t>
  </si>
  <si>
    <t>超市买水果</t>
  </si>
  <si>
    <t>打完羽毛球吃宵夜</t>
  </si>
  <si>
    <t>曾边便利店买饮料</t>
  </si>
  <si>
    <t>买裤子</t>
  </si>
  <si>
    <t>买手镯</t>
  </si>
  <si>
    <t>买杯子</t>
  </si>
  <si>
    <t>抖音买鞋子</t>
  </si>
  <si>
    <t>白云山飞索门票</t>
  </si>
  <si>
    <t>网易云音乐会员</t>
  </si>
  <si>
    <t>眼霜</t>
  </si>
  <si>
    <t>鞋子</t>
  </si>
  <si>
    <t>买眼镜框</t>
  </si>
  <si>
    <t>买梯子</t>
  </si>
  <si>
    <t>眼睛腿托</t>
  </si>
  <si>
    <t>手机壳</t>
  </si>
  <si>
    <t>共享单车月卡</t>
  </si>
  <si>
    <t>京东</t>
  </si>
  <si>
    <t>友间粤式茶点代金券</t>
  </si>
  <si>
    <t>爬白云山买水</t>
  </si>
  <si>
    <t>白云山飞索拍照</t>
  </si>
  <si>
    <t>友间粤式茶点</t>
  </si>
  <si>
    <t>给老妈发红包</t>
  </si>
  <si>
    <t>打车</t>
  </si>
  <si>
    <t>给老爹转账</t>
  </si>
  <si>
    <t>百度网盘超级会员</t>
  </si>
  <si>
    <t>超市买零食</t>
  </si>
  <si>
    <t>流花湖公园买酸奶</t>
  </si>
  <si>
    <t>包子和炒面</t>
  </si>
  <si>
    <t>10月水电</t>
  </si>
  <si>
    <t>羽毛球拍穿线</t>
  </si>
  <si>
    <t>大学城新疆菜 11月1日的</t>
  </si>
  <si>
    <t>包子糕点</t>
  </si>
  <si>
    <t>零食饮料</t>
  </si>
  <si>
    <t>买手胶</t>
  </si>
  <si>
    <t>洗衣液</t>
  </si>
  <si>
    <t>大学城吃东北菜</t>
  </si>
  <si>
    <t>早餐</t>
  </si>
  <si>
    <t>超市买零食饮料</t>
  </si>
  <si>
    <t>打车参加展会</t>
  </si>
  <si>
    <t>打羽毛球+吃晚饭</t>
  </si>
  <si>
    <t>买机场</t>
  </si>
  <si>
    <t>打车去吃铁锅炖</t>
  </si>
  <si>
    <t>兰州拉面</t>
  </si>
  <si>
    <t>红油牛肉包</t>
  </si>
  <si>
    <t>买书</t>
  </si>
  <si>
    <t>京东买衣服</t>
  </si>
  <si>
    <t>京东买耳塞</t>
  </si>
  <si>
    <t>转账给小号在PDD上面买东西</t>
  </si>
  <si>
    <t>琶洲地铁口麦当劳</t>
  </si>
  <si>
    <t>桶装水</t>
  </si>
  <si>
    <t>房租定金</t>
  </si>
  <si>
    <t>12月房租+押金</t>
  </si>
  <si>
    <t>燃气费</t>
  </si>
  <si>
    <t>贝壳中介费</t>
  </si>
  <si>
    <t>买搬家打包箱子</t>
  </si>
  <si>
    <t>买搬家打包袋子</t>
  </si>
  <si>
    <t>货拉拉</t>
  </si>
  <si>
    <t>打完球吃B记鱼粥</t>
  </si>
  <si>
    <t>打完球买可乐</t>
  </si>
  <si>
    <t>华工打球停车费</t>
  </si>
  <si>
    <t>羽毛球场地费+球费</t>
  </si>
  <si>
    <t>公牛排插</t>
  </si>
  <si>
    <t>买衣服</t>
  </si>
  <si>
    <t>pdd买桌垫</t>
  </si>
  <si>
    <t>pdd买绷带</t>
  </si>
  <si>
    <t>pdd买地垫</t>
  </si>
  <si>
    <t>京东买美纹纸</t>
  </si>
  <si>
    <t>拉宽带</t>
  </si>
  <si>
    <t>11月水电费</t>
  </si>
  <si>
    <t>买牙签</t>
  </si>
  <si>
    <t>保温壶</t>
  </si>
  <si>
    <t>京东清洗洗衣机服务</t>
  </si>
  <si>
    <t>排插</t>
  </si>
  <si>
    <t>擦眼镜湿巾</t>
  </si>
  <si>
    <t>macbook air</t>
  </si>
  <si>
    <t>macbook air 电脑包</t>
  </si>
  <si>
    <t>话费</t>
  </si>
  <si>
    <t>pdd买椅子</t>
  </si>
  <si>
    <t>其他厨具，餐具</t>
  </si>
  <si>
    <t>买电饭煲</t>
  </si>
  <si>
    <t>买炒菜锅</t>
  </si>
  <si>
    <t>pdd买垃圾桶</t>
  </si>
  <si>
    <t>pdd买收纳盒</t>
  </si>
  <si>
    <t>pdd买螺丝刀</t>
  </si>
  <si>
    <t>pdd厨房筷子刀具收纳架</t>
  </si>
  <si>
    <t>盐、油、酱油</t>
  </si>
  <si>
    <t>pdd买小凳子</t>
  </si>
  <si>
    <t>捐赠给MSDN，I tell you</t>
  </si>
  <si>
    <t>给我奶手机充话费</t>
  </si>
  <si>
    <t>买鸡蛋</t>
  </si>
  <si>
    <t>买西红柿</t>
  </si>
  <si>
    <t>给阿豪发红包，帮我租房合同用印</t>
  </si>
  <si>
    <t>钱大妈买菜</t>
  </si>
  <si>
    <t>打水</t>
  </si>
  <si>
    <t>pdd买水龙头花洒</t>
  </si>
  <si>
    <t>充话费</t>
  </si>
  <si>
    <t>买菜</t>
  </si>
  <si>
    <t>deepseekAPI费用</t>
  </si>
  <si>
    <t>买速冻水饺</t>
  </si>
  <si>
    <t>打印资料</t>
  </si>
  <si>
    <t>买面条</t>
  </si>
  <si>
    <t>买肉</t>
  </si>
  <si>
    <t>还学费</t>
  </si>
  <si>
    <t>买玉米淀粉</t>
  </si>
  <si>
    <t>买U盘</t>
  </si>
  <si>
    <t>bilibili充电</t>
  </si>
  <si>
    <t>买速写本和厨房用品</t>
  </si>
  <si>
    <t>买丝瓜络</t>
  </si>
  <si>
    <t>文创店买东西</t>
  </si>
  <si>
    <t>高速费</t>
  </si>
  <si>
    <t>买洗面奶</t>
  </si>
  <si>
    <t>1月房租</t>
  </si>
  <si>
    <t>pdd买扫把</t>
  </si>
  <si>
    <t>投资积存金亏损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</si>
</sst>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.00_ "/>
    <numFmt numFmtId="177" formatCode="#,##0.00_);[Red]\(#,##0.00\)"/>
    <numFmt numFmtId="178" formatCode="0.00_ "/>
  </numFmts>
  <fonts count="1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2" tint="-0.249977111117893"/>
      <name val="等线"/>
      <family val="2"/>
      <scheme val="minor"/>
    </font>
    <font>
      <sz val="11"/>
      <color theme="2" tint="-0.249977111117893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359AB5"/>
      <name val="等线"/>
      <family val="2"/>
      <scheme val="minor"/>
    </font>
    <font>
      <sz val="11"/>
      <color rgb="FF359AB5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sz val="11"/>
      <color theme="9" tint="-0.499984740745262"/>
      <name val="等线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0" fillId="0" borderId="0" xfId="0" applyFill="1"/>
    <xf numFmtId="14" fontId="0" fillId="0" borderId="0" xfId="0" applyNumberFormat="1"/>
    <xf numFmtId="0" fontId="4" fillId="0" borderId="0" xfId="0" applyFont="1"/>
    <xf numFmtId="0" fontId="5" fillId="0" borderId="0" xfId="0" applyFont="1" applyFill="1"/>
    <xf numFmtId="0" fontId="5" fillId="0" borderId="0" xfId="0" applyFont="1" applyFill="1" applyAlignment="1"/>
    <xf numFmtId="0" fontId="6" fillId="0" borderId="0" xfId="0" applyFont="1" applyFill="1"/>
    <xf numFmtId="0" fontId="7" fillId="0" borderId="0" xfId="0" applyFont="1" applyFill="1"/>
    <xf numFmtId="0" fontId="7" fillId="0" borderId="0" xfId="0" applyFont="1"/>
    <xf numFmtId="0" fontId="8" fillId="0" borderId="0" xfId="0" applyFont="1"/>
    <xf numFmtId="0" fontId="8" fillId="0" borderId="0" xfId="0" applyFont="1" applyFill="1"/>
    <xf numFmtId="0" fontId="9" fillId="0" borderId="0" xfId="0" applyFont="1" applyFill="1"/>
    <xf numFmtId="0" fontId="0" fillId="4" borderId="0" xfId="0" applyFill="1"/>
    <xf numFmtId="14" fontId="0" fillId="4" borderId="0" xfId="0" applyNumberFormat="1" applyFill="1"/>
    <xf numFmtId="0" fontId="10" fillId="0" borderId="0" xfId="0" applyFont="1"/>
    <xf numFmtId="4" fontId="0" fillId="0" borderId="0" xfId="0" applyNumberFormat="1"/>
    <xf numFmtId="4" fontId="11" fillId="0" borderId="0" xfId="0" applyNumberFormat="1" applyFont="1"/>
    <xf numFmtId="4" fontId="4" fillId="0" borderId="0" xfId="0" applyNumberFormat="1" applyFont="1"/>
    <xf numFmtId="176" fontId="0" fillId="0" borderId="0" xfId="0" applyNumberFormat="1"/>
    <xf numFmtId="0" fontId="0" fillId="3" borderId="0" xfId="0" applyFill="1"/>
    <xf numFmtId="14" fontId="0" fillId="3" borderId="0" xfId="0" applyNumberFormat="1" applyFill="1"/>
    <xf numFmtId="4" fontId="12" fillId="0" borderId="0" xfId="0" applyNumberFormat="1" applyFont="1"/>
    <xf numFmtId="0" fontId="12" fillId="0" borderId="0" xfId="0" applyFont="1" applyFill="1"/>
    <xf numFmtId="14" fontId="2" fillId="0" borderId="0" xfId="0" applyNumberFormat="1" applyFont="1"/>
    <xf numFmtId="0" fontId="2" fillId="0" borderId="0" xfId="0" applyFont="1"/>
    <xf numFmtId="4" fontId="0" fillId="3" borderId="0" xfId="0" applyNumberFormat="1" applyFill="1"/>
    <xf numFmtId="4" fontId="11" fillId="3" borderId="0" xfId="0" applyNumberFormat="1" applyFont="1" applyFill="1"/>
    <xf numFmtId="4" fontId="4" fillId="3" borderId="0" xfId="0" applyNumberFormat="1" applyFont="1" applyFill="1"/>
    <xf numFmtId="4" fontId="12" fillId="3" borderId="0" xfId="0" applyNumberFormat="1" applyFont="1" applyFill="1"/>
    <xf numFmtId="176" fontId="0" fillId="3" borderId="0" xfId="0" applyNumberFormat="1" applyFill="1"/>
    <xf numFmtId="0" fontId="8" fillId="3" borderId="0" xfId="0" applyFont="1" applyFill="1"/>
    <xf numFmtId="0" fontId="4" fillId="3" borderId="0" xfId="0" applyFont="1" applyFill="1"/>
    <xf numFmtId="4" fontId="0" fillId="0" borderId="0" xfId="0" applyNumberFormat="1" applyFill="1"/>
    <xf numFmtId="4" fontId="8" fillId="0" borderId="0" xfId="0" applyNumberFormat="1" applyFont="1"/>
    <xf numFmtId="0" fontId="0" fillId="5" borderId="0" xfId="0" applyFill="1"/>
    <xf numFmtId="4" fontId="0" fillId="5" borderId="0" xfId="0" applyNumberFormat="1" applyFill="1"/>
    <xf numFmtId="0" fontId="0" fillId="6" borderId="0" xfId="0" applyFill="1"/>
    <xf numFmtId="4" fontId="0" fillId="6" borderId="0" xfId="0" applyNumberFormat="1" applyFill="1"/>
    <xf numFmtId="4" fontId="8" fillId="3" borderId="0" xfId="0" applyNumberFormat="1" applyFont="1" applyFill="1"/>
    <xf numFmtId="0" fontId="4" fillId="0" borderId="0" xfId="0" applyFont="1" applyFill="1"/>
    <xf numFmtId="177" fontId="3" fillId="0" borderId="0" xfId="0" applyNumberFormat="1" applyFont="1"/>
    <xf numFmtId="177" fontId="3" fillId="3" borderId="0" xfId="0" applyNumberFormat="1" applyFont="1" applyFill="1"/>
    <xf numFmtId="40" fontId="12" fillId="0" borderId="0" xfId="0" applyNumberFormat="1" applyFont="1"/>
    <xf numFmtId="40" fontId="12" fillId="3" borderId="0" xfId="0" applyNumberFormat="1" applyFont="1" applyFill="1"/>
    <xf numFmtId="40" fontId="4" fillId="0" borderId="0" xfId="0" applyNumberFormat="1" applyFont="1"/>
    <xf numFmtId="40" fontId="0" fillId="0" borderId="0" xfId="0" applyNumberFormat="1"/>
    <xf numFmtId="0" fontId="0" fillId="0" borderId="0" xfId="0" applyAlignment="1">
      <alignment horizontal="right"/>
    </xf>
    <xf numFmtId="0" fontId="8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77" fontId="0" fillId="0" borderId="0" xfId="0" applyNumberFormat="1"/>
    <xf numFmtId="177" fontId="4" fillId="0" borderId="0" xfId="0" applyNumberFormat="1" applyFont="1"/>
    <xf numFmtId="177" fontId="8" fillId="0" borderId="0" xfId="0" applyNumberFormat="1" applyFont="1" applyFill="1"/>
    <xf numFmtId="0" fontId="4" fillId="7" borderId="0" xfId="0" applyFont="1" applyFill="1" applyAlignment="1">
      <alignment horizontal="right"/>
    </xf>
    <xf numFmtId="177" fontId="8" fillId="7" borderId="0" xfId="0" applyNumberFormat="1" applyFont="1" applyFill="1"/>
    <xf numFmtId="177" fontId="13" fillId="0" borderId="0" xfId="0" applyNumberFormat="1" applyFont="1"/>
    <xf numFmtId="0" fontId="0" fillId="0" borderId="0" xfId="0" applyAlignment="1">
      <alignment horizontal="left" vertical="center"/>
    </xf>
    <xf numFmtId="0" fontId="5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vertical="center"/>
    </xf>
    <xf numFmtId="178" fontId="0" fillId="0" borderId="0" xfId="0" applyNumberFormat="1"/>
    <xf numFmtId="178" fontId="0" fillId="3" borderId="0" xfId="0" applyNumberFormat="1" applyFill="1"/>
    <xf numFmtId="178" fontId="0" fillId="4" borderId="0" xfId="0" applyNumberFormat="1" applyFill="1"/>
    <xf numFmtId="178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9CC"/>
      <color rgb="FF359A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650"/>
  <sheetViews>
    <sheetView tabSelected="1" workbookViewId="0">
      <pane ySplit="1" topLeftCell="A622" activePane="bottomLeft" state="frozen"/>
      <selection pane="bottomLeft" activeCell="B633" sqref="B633"/>
    </sheetView>
  </sheetViews>
  <sheetFormatPr defaultRowHeight="13.8"/>
  <cols>
    <col min="1" max="1" width="11.21875" bestFit="1" customWidth="1"/>
    <col min="2" max="2" width="9.77734375" customWidth="1"/>
    <col min="3" max="3" width="11.88671875" customWidth="1"/>
    <col min="4" max="4" width="48.6640625" customWidth="1"/>
  </cols>
  <sheetData>
    <row r="1" spans="1:4">
      <c r="A1" t="s">
        <v>15</v>
      </c>
      <c r="B1" t="s">
        <v>16</v>
      </c>
      <c r="C1" t="s">
        <v>17</v>
      </c>
      <c r="D1" t="s">
        <v>366</v>
      </c>
    </row>
    <row r="2" spans="1:4">
      <c r="A2" s="4">
        <v>45839</v>
      </c>
      <c r="B2" s="62">
        <v>-10.3</v>
      </c>
      <c r="C2" t="s">
        <v>68</v>
      </c>
      <c r="D2" t="s">
        <v>367</v>
      </c>
    </row>
    <row r="3" spans="1:4">
      <c r="A3" s="4">
        <v>45839</v>
      </c>
      <c r="B3" s="62">
        <v>-1.5</v>
      </c>
      <c r="C3" t="s">
        <v>70</v>
      </c>
      <c r="D3" t="s">
        <v>368</v>
      </c>
    </row>
    <row r="4" spans="1:4">
      <c r="A4" s="4">
        <v>45839</v>
      </c>
      <c r="B4" s="62">
        <v>-5.85</v>
      </c>
      <c r="C4" t="s">
        <v>71</v>
      </c>
      <c r="D4" t="s">
        <v>369</v>
      </c>
    </row>
    <row r="5" spans="1:4">
      <c r="A5" s="4">
        <v>45840</v>
      </c>
      <c r="B5" s="62">
        <v>-10.3</v>
      </c>
      <c r="C5" t="s">
        <v>68</v>
      </c>
      <c r="D5" t="s">
        <v>367</v>
      </c>
    </row>
    <row r="6" spans="1:4">
      <c r="A6" s="4">
        <v>45840</v>
      </c>
      <c r="B6" s="62">
        <v>-104.82</v>
      </c>
      <c r="C6" t="s">
        <v>72</v>
      </c>
      <c r="D6" t="s">
        <v>370</v>
      </c>
    </row>
    <row r="7" spans="1:4">
      <c r="A7" s="4">
        <v>45840</v>
      </c>
      <c r="B7" s="62">
        <v>-1.5</v>
      </c>
      <c r="C7" t="s">
        <v>73</v>
      </c>
      <c r="D7" t="s">
        <v>368</v>
      </c>
    </row>
    <row r="8" spans="1:4">
      <c r="A8" s="4">
        <v>45840</v>
      </c>
      <c r="B8" s="62">
        <v>-6.29</v>
      </c>
      <c r="C8" t="s">
        <v>73</v>
      </c>
      <c r="D8" t="s">
        <v>369</v>
      </c>
    </row>
    <row r="9" spans="1:4">
      <c r="A9" s="4">
        <v>45840</v>
      </c>
      <c r="B9" s="62">
        <v>-11.9</v>
      </c>
      <c r="C9" t="s">
        <v>68</v>
      </c>
      <c r="D9" t="s">
        <v>367</v>
      </c>
    </row>
    <row r="10" spans="1:4">
      <c r="A10" s="4">
        <v>45840</v>
      </c>
      <c r="B10" s="62">
        <v>-11.49</v>
      </c>
      <c r="C10" t="s">
        <v>68</v>
      </c>
      <c r="D10" t="s">
        <v>371</v>
      </c>
    </row>
    <row r="11" spans="1:4">
      <c r="A11" s="4">
        <v>45841</v>
      </c>
      <c r="B11" s="62">
        <v>-177</v>
      </c>
      <c r="C11" t="s">
        <v>75</v>
      </c>
      <c r="D11" t="s">
        <v>372</v>
      </c>
    </row>
    <row r="12" spans="1:4">
      <c r="A12" s="4">
        <v>45841</v>
      </c>
      <c r="B12" s="62">
        <v>-5.75</v>
      </c>
      <c r="C12" t="s">
        <v>77</v>
      </c>
      <c r="D12" t="s">
        <v>373</v>
      </c>
    </row>
    <row r="13" spans="1:4">
      <c r="A13" s="4">
        <v>45841</v>
      </c>
      <c r="B13" s="62">
        <v>-4.3099999999999996</v>
      </c>
      <c r="C13" t="s">
        <v>68</v>
      </c>
      <c r="D13" t="s">
        <v>374</v>
      </c>
    </row>
    <row r="14" spans="1:4">
      <c r="A14" s="4">
        <v>45842</v>
      </c>
      <c r="B14" s="62">
        <v>-34.049999999999997</v>
      </c>
      <c r="C14" t="s">
        <v>68</v>
      </c>
      <c r="D14" t="s">
        <v>375</v>
      </c>
    </row>
    <row r="15" spans="1:4">
      <c r="A15" s="4">
        <v>45842</v>
      </c>
      <c r="B15" s="62">
        <v>-5.92</v>
      </c>
      <c r="C15" t="s">
        <v>68</v>
      </c>
      <c r="D15" t="s">
        <v>376</v>
      </c>
    </row>
    <row r="16" spans="1:4">
      <c r="A16" s="4">
        <v>45842</v>
      </c>
      <c r="B16" s="62">
        <v>-6.43</v>
      </c>
      <c r="C16" t="s">
        <v>68</v>
      </c>
      <c r="D16" t="s">
        <v>376</v>
      </c>
    </row>
    <row r="17" spans="1:4">
      <c r="A17" s="4">
        <v>45842</v>
      </c>
      <c r="B17" s="62">
        <v>-5.31</v>
      </c>
      <c r="C17" t="s">
        <v>68</v>
      </c>
      <c r="D17" t="s">
        <v>376</v>
      </c>
    </row>
    <row r="18" spans="1:4">
      <c r="A18" s="4">
        <v>45842</v>
      </c>
      <c r="B18" s="62">
        <v>-31.92</v>
      </c>
      <c r="C18" t="s">
        <v>68</v>
      </c>
      <c r="D18" t="s">
        <v>377</v>
      </c>
    </row>
    <row r="19" spans="1:4">
      <c r="A19" s="4">
        <v>45842</v>
      </c>
      <c r="B19" s="62">
        <v>-6.61</v>
      </c>
      <c r="C19" t="s">
        <v>73</v>
      </c>
      <c r="D19" t="s">
        <v>376</v>
      </c>
    </row>
    <row r="20" spans="1:4">
      <c r="A20" s="4">
        <v>45843</v>
      </c>
      <c r="B20" s="62">
        <v>-4.05</v>
      </c>
      <c r="C20" t="s">
        <v>37</v>
      </c>
      <c r="D20" t="s">
        <v>373</v>
      </c>
    </row>
    <row r="21" spans="1:4">
      <c r="A21" s="4">
        <v>45843</v>
      </c>
      <c r="B21" s="62">
        <v>-1.5</v>
      </c>
      <c r="C21" t="s">
        <v>37</v>
      </c>
      <c r="D21" t="s">
        <v>378</v>
      </c>
    </row>
    <row r="22" spans="1:4">
      <c r="A22" s="4">
        <v>45843</v>
      </c>
      <c r="B22" s="62">
        <v>-7.3</v>
      </c>
      <c r="C22" t="s">
        <v>37</v>
      </c>
      <c r="D22" t="s">
        <v>379</v>
      </c>
    </row>
    <row r="23" spans="1:4">
      <c r="A23" s="4">
        <v>45844</v>
      </c>
      <c r="B23" s="62">
        <v>-3</v>
      </c>
      <c r="C23" t="s">
        <v>43</v>
      </c>
      <c r="D23" t="s">
        <v>380</v>
      </c>
    </row>
    <row r="24" spans="1:4">
      <c r="A24" s="4">
        <v>45844</v>
      </c>
      <c r="B24" s="62">
        <v>-10</v>
      </c>
      <c r="C24" t="s">
        <v>43</v>
      </c>
      <c r="D24" t="s">
        <v>381</v>
      </c>
    </row>
    <row r="25" spans="1:4">
      <c r="A25" s="4">
        <v>45844</v>
      </c>
      <c r="B25" s="62">
        <v>-3.8</v>
      </c>
      <c r="C25" t="s">
        <v>43</v>
      </c>
      <c r="D25" t="s">
        <v>382</v>
      </c>
    </row>
    <row r="26" spans="1:4">
      <c r="A26" s="4">
        <v>45844</v>
      </c>
      <c r="B26" s="62">
        <v>-22.8</v>
      </c>
      <c r="C26" t="s">
        <v>43</v>
      </c>
      <c r="D26" t="s">
        <v>383</v>
      </c>
    </row>
    <row r="27" spans="1:4">
      <c r="A27" s="4">
        <v>45844</v>
      </c>
      <c r="B27" s="62">
        <v>-17.760000000000002</v>
      </c>
      <c r="C27" t="s">
        <v>43</v>
      </c>
      <c r="D27" t="s">
        <v>384</v>
      </c>
    </row>
    <row r="28" spans="1:4">
      <c r="A28" s="4">
        <v>45844</v>
      </c>
      <c r="B28" s="62">
        <v>-13.88</v>
      </c>
      <c r="C28" t="s">
        <v>45</v>
      </c>
      <c r="D28" t="s">
        <v>385</v>
      </c>
    </row>
    <row r="29" spans="1:4">
      <c r="A29" s="4">
        <v>45845</v>
      </c>
      <c r="B29" s="62">
        <v>-1.5</v>
      </c>
      <c r="C29" t="s">
        <v>38</v>
      </c>
      <c r="D29" t="s">
        <v>386</v>
      </c>
    </row>
    <row r="30" spans="1:4">
      <c r="A30" s="4">
        <v>45845</v>
      </c>
      <c r="B30" s="62">
        <v>-20</v>
      </c>
      <c r="C30" t="s">
        <v>38</v>
      </c>
      <c r="D30" t="s">
        <v>387</v>
      </c>
    </row>
    <row r="31" spans="1:4">
      <c r="A31" s="4">
        <v>45845</v>
      </c>
      <c r="B31" s="62">
        <v>-100</v>
      </c>
      <c r="C31" t="s">
        <v>38</v>
      </c>
      <c r="D31" t="s">
        <v>388</v>
      </c>
    </row>
    <row r="32" spans="1:4">
      <c r="A32" s="4">
        <v>45845</v>
      </c>
      <c r="B32" s="62">
        <v>-16.899999999999999</v>
      </c>
      <c r="C32" t="s">
        <v>46</v>
      </c>
      <c r="D32" t="s">
        <v>389</v>
      </c>
    </row>
    <row r="33" spans="1:4">
      <c r="A33" s="4">
        <v>45845</v>
      </c>
      <c r="B33" s="62">
        <v>-5.41</v>
      </c>
      <c r="C33" t="s">
        <v>23</v>
      </c>
      <c r="D33" t="s">
        <v>390</v>
      </c>
    </row>
    <row r="34" spans="1:4">
      <c r="A34" s="4">
        <v>45846</v>
      </c>
      <c r="B34" s="62">
        <v>-5.36</v>
      </c>
      <c r="C34" t="s">
        <v>21</v>
      </c>
      <c r="D34" t="s">
        <v>373</v>
      </c>
    </row>
    <row r="35" spans="1:4">
      <c r="A35" s="4">
        <v>45846</v>
      </c>
      <c r="B35" s="62">
        <v>-3.86</v>
      </c>
      <c r="C35" t="s">
        <v>21</v>
      </c>
      <c r="D35" t="s">
        <v>374</v>
      </c>
    </row>
    <row r="36" spans="1:4">
      <c r="A36" s="4">
        <v>45847</v>
      </c>
      <c r="B36" s="62">
        <v>-4.99</v>
      </c>
      <c r="C36" t="s">
        <v>21</v>
      </c>
      <c r="D36" t="s">
        <v>373</v>
      </c>
    </row>
    <row r="37" spans="1:4">
      <c r="A37" s="4">
        <v>45847</v>
      </c>
      <c r="B37" s="62">
        <v>-195</v>
      </c>
      <c r="C37" t="s">
        <v>71</v>
      </c>
      <c r="D37" t="s">
        <v>391</v>
      </c>
    </row>
    <row r="38" spans="1:4">
      <c r="A38" s="4">
        <v>45847</v>
      </c>
      <c r="B38" s="62">
        <v>-84</v>
      </c>
      <c r="C38" t="s">
        <v>43</v>
      </c>
      <c r="D38" t="s">
        <v>392</v>
      </c>
    </row>
    <row r="39" spans="1:4">
      <c r="A39" s="4">
        <v>45847</v>
      </c>
      <c r="B39" s="62">
        <v>-1.5</v>
      </c>
      <c r="C39" t="s">
        <v>37</v>
      </c>
      <c r="D39" t="s">
        <v>378</v>
      </c>
    </row>
    <row r="40" spans="1:4">
      <c r="A40" s="4">
        <v>45848</v>
      </c>
      <c r="B40" s="62">
        <v>-10</v>
      </c>
      <c r="C40" t="s">
        <v>21</v>
      </c>
      <c r="D40" t="s">
        <v>376</v>
      </c>
    </row>
    <row r="41" spans="1:4">
      <c r="A41" s="4">
        <v>45848</v>
      </c>
      <c r="B41" s="62">
        <v>-25.01</v>
      </c>
      <c r="C41" t="s">
        <v>10</v>
      </c>
      <c r="D41" t="s">
        <v>393</v>
      </c>
    </row>
    <row r="42" spans="1:4">
      <c r="A42" s="4">
        <v>45849</v>
      </c>
      <c r="B42" s="62">
        <v>-0.1</v>
      </c>
      <c r="C42" t="s">
        <v>61</v>
      </c>
      <c r="D42" t="s">
        <v>394</v>
      </c>
    </row>
    <row r="43" spans="1:4">
      <c r="A43" s="4">
        <v>45849</v>
      </c>
      <c r="B43" s="62">
        <v>-6.54</v>
      </c>
      <c r="C43" t="s">
        <v>61</v>
      </c>
      <c r="D43" t="s">
        <v>373</v>
      </c>
    </row>
    <row r="44" spans="1:4">
      <c r="A44" s="4">
        <v>45849</v>
      </c>
      <c r="B44" s="62">
        <v>-66</v>
      </c>
      <c r="C44" t="s">
        <v>61</v>
      </c>
      <c r="D44" t="s">
        <v>395</v>
      </c>
    </row>
    <row r="45" spans="1:4">
      <c r="A45" s="4">
        <v>45849</v>
      </c>
      <c r="B45" s="62">
        <v>-113</v>
      </c>
      <c r="C45" t="s">
        <v>78</v>
      </c>
      <c r="D45" t="s">
        <v>396</v>
      </c>
    </row>
    <row r="46" spans="1:4">
      <c r="A46" s="4">
        <v>45849</v>
      </c>
      <c r="B46" s="62">
        <v>-14.16</v>
      </c>
      <c r="C46" t="s">
        <v>61</v>
      </c>
      <c r="D46" t="s">
        <v>397</v>
      </c>
    </row>
    <row r="47" spans="1:4">
      <c r="A47" s="4">
        <v>45849</v>
      </c>
      <c r="B47" s="62">
        <v>-10.3</v>
      </c>
      <c r="C47" t="s">
        <v>61</v>
      </c>
      <c r="D47" t="s">
        <v>367</v>
      </c>
    </row>
    <row r="48" spans="1:4">
      <c r="A48" s="4">
        <v>45849</v>
      </c>
      <c r="B48" s="62">
        <v>-3</v>
      </c>
      <c r="C48" t="s">
        <v>62</v>
      </c>
      <c r="D48" t="s">
        <v>368</v>
      </c>
    </row>
    <row r="49" spans="1:4">
      <c r="A49" s="4">
        <v>45849</v>
      </c>
      <c r="B49" s="62">
        <v>-25</v>
      </c>
      <c r="C49" t="s">
        <v>64</v>
      </c>
      <c r="D49" t="s">
        <v>383</v>
      </c>
    </row>
    <row r="50" spans="1:4">
      <c r="A50" s="4">
        <v>45850</v>
      </c>
      <c r="B50" s="62">
        <v>-91</v>
      </c>
      <c r="C50" t="s">
        <v>78</v>
      </c>
      <c r="D50" t="s">
        <v>396</v>
      </c>
    </row>
    <row r="51" spans="1:4">
      <c r="A51" s="4">
        <v>45850</v>
      </c>
      <c r="B51" s="62">
        <v>-18</v>
      </c>
      <c r="C51" t="s">
        <v>66</v>
      </c>
      <c r="D51" t="s">
        <v>398</v>
      </c>
    </row>
    <row r="52" spans="1:4">
      <c r="A52" s="4">
        <v>45850</v>
      </c>
      <c r="B52" s="62">
        <v>-7.46</v>
      </c>
      <c r="C52" t="s">
        <v>67</v>
      </c>
      <c r="D52" t="s">
        <v>385</v>
      </c>
    </row>
    <row r="53" spans="1:4">
      <c r="A53" s="4">
        <v>45850</v>
      </c>
      <c r="B53" s="62">
        <v>-16.899999999999999</v>
      </c>
      <c r="C53" t="s">
        <v>71</v>
      </c>
      <c r="D53" t="s">
        <v>385</v>
      </c>
    </row>
    <row r="54" spans="1:4">
      <c r="A54" s="4">
        <v>45851</v>
      </c>
      <c r="B54" s="62">
        <v>-110</v>
      </c>
      <c r="C54" t="s">
        <v>71</v>
      </c>
      <c r="D54" t="s">
        <v>399</v>
      </c>
    </row>
    <row r="55" spans="1:4">
      <c r="A55" s="4">
        <v>45851</v>
      </c>
      <c r="B55" s="62">
        <v>-22.8</v>
      </c>
      <c r="C55" t="s">
        <v>95</v>
      </c>
      <c r="D55" t="s">
        <v>400</v>
      </c>
    </row>
    <row r="56" spans="1:4">
      <c r="A56" s="4">
        <v>45851</v>
      </c>
      <c r="B56" s="62">
        <v>-9.8000000000000007</v>
      </c>
      <c r="C56" t="s">
        <v>95</v>
      </c>
      <c r="D56" t="s">
        <v>367</v>
      </c>
    </row>
    <row r="57" spans="1:4">
      <c r="A57" s="4">
        <v>45851</v>
      </c>
      <c r="B57" s="62">
        <v>-6</v>
      </c>
      <c r="C57" t="s">
        <v>96</v>
      </c>
      <c r="D57" t="s">
        <v>401</v>
      </c>
    </row>
    <row r="58" spans="1:4">
      <c r="A58" s="4">
        <v>45851</v>
      </c>
      <c r="B58" s="62">
        <v>-194.92</v>
      </c>
      <c r="C58" t="s">
        <v>97</v>
      </c>
      <c r="D58" t="s">
        <v>98</v>
      </c>
    </row>
    <row r="59" spans="1:4">
      <c r="A59" s="4">
        <v>45851</v>
      </c>
      <c r="B59" s="62">
        <v>-78.7</v>
      </c>
      <c r="C59" t="s">
        <v>99</v>
      </c>
      <c r="D59" t="s">
        <v>402</v>
      </c>
    </row>
    <row r="60" spans="1:4">
      <c r="A60" s="4">
        <v>45852</v>
      </c>
      <c r="B60" s="62">
        <v>-9.8000000000000007</v>
      </c>
      <c r="C60" t="s">
        <v>105</v>
      </c>
      <c r="D60" t="s">
        <v>367</v>
      </c>
    </row>
    <row r="61" spans="1:4">
      <c r="A61" s="4">
        <v>45852</v>
      </c>
      <c r="B61" s="62">
        <v>-69.900000000000006</v>
      </c>
      <c r="C61" t="s">
        <v>96</v>
      </c>
      <c r="D61" t="s">
        <v>403</v>
      </c>
    </row>
    <row r="62" spans="1:4">
      <c r="A62" s="4">
        <v>45852</v>
      </c>
      <c r="B62" s="62">
        <v>-1.5</v>
      </c>
      <c r="C62" t="s">
        <v>96</v>
      </c>
      <c r="D62" t="s">
        <v>368</v>
      </c>
    </row>
    <row r="63" spans="1:4">
      <c r="A63" s="4">
        <v>45853</v>
      </c>
      <c r="B63" s="62">
        <v>-1.5</v>
      </c>
      <c r="C63" t="s">
        <v>102</v>
      </c>
      <c r="D63" t="s">
        <v>368</v>
      </c>
    </row>
    <row r="64" spans="1:4">
      <c r="A64" s="4">
        <v>45853</v>
      </c>
      <c r="B64" s="62">
        <v>-7.9</v>
      </c>
      <c r="C64" t="s">
        <v>103</v>
      </c>
      <c r="D64" t="s">
        <v>404</v>
      </c>
    </row>
    <row r="65" spans="1:4">
      <c r="A65" s="4">
        <v>45854</v>
      </c>
      <c r="B65" s="62">
        <v>-1.5</v>
      </c>
      <c r="C65" t="s">
        <v>102</v>
      </c>
      <c r="D65" t="s">
        <v>368</v>
      </c>
    </row>
    <row r="66" spans="1:4">
      <c r="A66" s="4">
        <v>45854</v>
      </c>
      <c r="B66" s="62">
        <v>-18.8</v>
      </c>
      <c r="C66" t="s">
        <v>105</v>
      </c>
      <c r="D66" t="s">
        <v>367</v>
      </c>
    </row>
    <row r="67" spans="1:4">
      <c r="A67" s="4">
        <v>45854</v>
      </c>
      <c r="B67" s="62">
        <v>-29.9</v>
      </c>
      <c r="C67" t="s">
        <v>106</v>
      </c>
      <c r="D67" t="s">
        <v>405</v>
      </c>
    </row>
    <row r="68" spans="1:4">
      <c r="A68" s="4">
        <v>45854</v>
      </c>
      <c r="B68" s="62">
        <v>-59</v>
      </c>
      <c r="C68" t="s">
        <v>105</v>
      </c>
      <c r="D68" t="s">
        <v>406</v>
      </c>
    </row>
    <row r="69" spans="1:4">
      <c r="A69" s="4">
        <v>45854</v>
      </c>
      <c r="B69" s="62">
        <v>-59</v>
      </c>
      <c r="C69" t="s">
        <v>105</v>
      </c>
      <c r="D69" t="s">
        <v>406</v>
      </c>
    </row>
    <row r="70" spans="1:4">
      <c r="A70" s="4">
        <v>45854</v>
      </c>
      <c r="B70" s="62">
        <v>-5.32</v>
      </c>
      <c r="C70" t="s">
        <v>105</v>
      </c>
      <c r="D70" t="s">
        <v>407</v>
      </c>
    </row>
    <row r="71" spans="1:4">
      <c r="A71" s="4">
        <v>45855</v>
      </c>
      <c r="B71" s="62">
        <v>-6.5</v>
      </c>
      <c r="C71" t="s">
        <v>113</v>
      </c>
      <c r="D71" t="s">
        <v>408</v>
      </c>
    </row>
    <row r="72" spans="1:4">
      <c r="A72" s="4">
        <v>45855</v>
      </c>
      <c r="B72" s="62">
        <v>-1.5</v>
      </c>
      <c r="C72" t="s">
        <v>113</v>
      </c>
      <c r="D72" t="s">
        <v>368</v>
      </c>
    </row>
    <row r="73" spans="1:4">
      <c r="A73" s="4">
        <v>45855</v>
      </c>
      <c r="B73" s="62">
        <v>-19.18</v>
      </c>
      <c r="C73" t="s">
        <v>116</v>
      </c>
      <c r="D73" t="s">
        <v>385</v>
      </c>
    </row>
    <row r="74" spans="1:4">
      <c r="A74" s="4">
        <v>45856</v>
      </c>
      <c r="B74" s="62">
        <v>-3</v>
      </c>
      <c r="C74" t="s">
        <v>113</v>
      </c>
      <c r="D74" t="s">
        <v>408</v>
      </c>
    </row>
    <row r="75" spans="1:4">
      <c r="A75" s="4">
        <v>45856</v>
      </c>
      <c r="B75" s="62">
        <v>-1.5</v>
      </c>
      <c r="C75" t="s">
        <v>113</v>
      </c>
      <c r="D75" t="s">
        <v>368</v>
      </c>
    </row>
    <row r="76" spans="1:4">
      <c r="A76" s="4">
        <v>45856</v>
      </c>
      <c r="B76" s="62">
        <v>-9.41</v>
      </c>
      <c r="C76" t="s">
        <v>113</v>
      </c>
      <c r="D76" t="s">
        <v>409</v>
      </c>
    </row>
    <row r="77" spans="1:4">
      <c r="A77" s="4">
        <v>45856</v>
      </c>
      <c r="B77" s="62">
        <v>-11.8</v>
      </c>
      <c r="C77" t="s">
        <v>113</v>
      </c>
      <c r="D77" t="s">
        <v>410</v>
      </c>
    </row>
    <row r="78" spans="1:4">
      <c r="A78" s="4">
        <v>45857</v>
      </c>
      <c r="B78" s="62">
        <v>-9.8000000000000007</v>
      </c>
      <c r="C78" t="s">
        <v>111</v>
      </c>
      <c r="D78" t="s">
        <v>410</v>
      </c>
    </row>
    <row r="79" spans="1:4">
      <c r="A79" s="4">
        <v>45857</v>
      </c>
      <c r="B79" s="62">
        <v>-7.5</v>
      </c>
      <c r="C79" t="s">
        <v>113</v>
      </c>
      <c r="D79" t="s">
        <v>390</v>
      </c>
    </row>
    <row r="80" spans="1:4">
      <c r="A80" s="4">
        <v>45857</v>
      </c>
      <c r="B80" s="62">
        <v>-5.05</v>
      </c>
      <c r="C80" t="s">
        <v>114</v>
      </c>
      <c r="D80" t="s">
        <v>411</v>
      </c>
    </row>
    <row r="81" spans="1:4">
      <c r="A81" s="4">
        <v>45857</v>
      </c>
      <c r="B81" s="62">
        <v>-17.32</v>
      </c>
      <c r="C81" t="s">
        <v>115</v>
      </c>
      <c r="D81" t="s">
        <v>385</v>
      </c>
    </row>
    <row r="82" spans="1:4">
      <c r="A82" s="4">
        <v>45857</v>
      </c>
      <c r="B82" s="62">
        <v>-13</v>
      </c>
      <c r="C82" t="s">
        <v>116</v>
      </c>
      <c r="D82" t="s">
        <v>412</v>
      </c>
    </row>
    <row r="83" spans="1:4">
      <c r="A83" s="4">
        <v>45858</v>
      </c>
      <c r="B83" s="62">
        <v>-15</v>
      </c>
      <c r="C83" t="s">
        <v>113</v>
      </c>
      <c r="D83" t="s">
        <v>413</v>
      </c>
    </row>
    <row r="84" spans="1:4">
      <c r="A84" s="4">
        <v>45858</v>
      </c>
      <c r="B84" s="62">
        <v>-8.8800000000000008</v>
      </c>
      <c r="C84" t="s">
        <v>113</v>
      </c>
      <c r="D84" t="s">
        <v>410</v>
      </c>
    </row>
    <row r="85" spans="1:4">
      <c r="A85" s="4">
        <v>45858</v>
      </c>
      <c r="B85" s="62">
        <v>-140</v>
      </c>
      <c r="C85" t="s">
        <v>113</v>
      </c>
      <c r="D85" t="s">
        <v>414</v>
      </c>
    </row>
    <row r="86" spans="1:4">
      <c r="A86" s="4">
        <v>45858</v>
      </c>
      <c r="B86" s="62">
        <v>-9.67</v>
      </c>
      <c r="C86" t="s">
        <v>113</v>
      </c>
      <c r="D86" t="s">
        <v>415</v>
      </c>
    </row>
    <row r="87" spans="1:4">
      <c r="A87" s="4">
        <v>45859</v>
      </c>
      <c r="B87" s="62">
        <v>-3</v>
      </c>
      <c r="C87" t="s">
        <v>113</v>
      </c>
      <c r="D87" t="s">
        <v>368</v>
      </c>
    </row>
    <row r="88" spans="1:4">
      <c r="A88" s="4">
        <v>45859</v>
      </c>
      <c r="B88" s="62">
        <v>-7.88</v>
      </c>
      <c r="C88" t="s">
        <v>113</v>
      </c>
      <c r="D88" t="s">
        <v>410</v>
      </c>
    </row>
    <row r="89" spans="1:4">
      <c r="A89" s="4">
        <v>45860</v>
      </c>
      <c r="B89" s="62">
        <v>-4.9000000000000004</v>
      </c>
      <c r="C89" t="s">
        <v>120</v>
      </c>
      <c r="D89" t="s">
        <v>416</v>
      </c>
    </row>
    <row r="90" spans="1:4">
      <c r="A90" s="4">
        <v>45860</v>
      </c>
      <c r="B90" s="62">
        <v>-7.4</v>
      </c>
      <c r="C90" t="s">
        <v>121</v>
      </c>
      <c r="D90" t="s">
        <v>369</v>
      </c>
    </row>
    <row r="91" spans="1:4">
      <c r="A91" s="4">
        <v>45860</v>
      </c>
      <c r="B91" s="62">
        <v>-12.99</v>
      </c>
      <c r="C91" t="s">
        <v>122</v>
      </c>
      <c r="D91" t="s">
        <v>385</v>
      </c>
    </row>
    <row r="92" spans="1:4">
      <c r="A92" s="4">
        <v>45861</v>
      </c>
      <c r="B92" s="62">
        <v>-178</v>
      </c>
      <c r="C92" t="s">
        <v>124</v>
      </c>
      <c r="D92" t="s">
        <v>383</v>
      </c>
    </row>
    <row r="93" spans="1:4">
      <c r="A93" s="4">
        <v>45861</v>
      </c>
      <c r="B93" s="62">
        <v>-0.51</v>
      </c>
      <c r="C93" t="s">
        <v>125</v>
      </c>
      <c r="D93" t="s">
        <v>368</v>
      </c>
    </row>
    <row r="94" spans="1:4">
      <c r="A94" s="4">
        <v>45861</v>
      </c>
      <c r="B94" s="62">
        <v>-14.7</v>
      </c>
      <c r="C94" t="s">
        <v>125</v>
      </c>
      <c r="D94" t="s">
        <v>385</v>
      </c>
    </row>
    <row r="95" spans="1:4">
      <c r="A95" s="4">
        <v>45862</v>
      </c>
      <c r="B95" s="62">
        <v>-14.98</v>
      </c>
      <c r="C95" t="s">
        <v>125</v>
      </c>
      <c r="D95" t="s">
        <v>417</v>
      </c>
    </row>
    <row r="96" spans="1:4">
      <c r="A96" s="4">
        <v>45862</v>
      </c>
      <c r="B96" s="62">
        <v>-4</v>
      </c>
      <c r="C96" t="s">
        <v>126</v>
      </c>
      <c r="D96" t="s">
        <v>408</v>
      </c>
    </row>
    <row r="97" spans="1:4">
      <c r="A97" s="4">
        <v>45862</v>
      </c>
      <c r="B97" s="62">
        <v>-18.7</v>
      </c>
      <c r="C97" t="s">
        <v>127</v>
      </c>
      <c r="D97" t="s">
        <v>418</v>
      </c>
    </row>
    <row r="98" spans="1:4">
      <c r="A98" s="4">
        <v>45863</v>
      </c>
      <c r="B98" s="62">
        <v>-14.9</v>
      </c>
      <c r="C98" t="s">
        <v>133</v>
      </c>
      <c r="D98" t="s">
        <v>419</v>
      </c>
    </row>
    <row r="99" spans="1:4">
      <c r="A99" s="4">
        <v>45863</v>
      </c>
      <c r="B99" s="62">
        <v>-8.56</v>
      </c>
      <c r="C99" t="s">
        <v>134</v>
      </c>
      <c r="D99" t="s">
        <v>420</v>
      </c>
    </row>
    <row r="100" spans="1:4">
      <c r="A100" s="4">
        <v>45864</v>
      </c>
      <c r="B100" s="62">
        <v>-8.1</v>
      </c>
      <c r="C100" t="s">
        <v>135</v>
      </c>
      <c r="D100" t="s">
        <v>410</v>
      </c>
    </row>
    <row r="101" spans="1:4">
      <c r="A101" s="4">
        <v>45864</v>
      </c>
      <c r="B101" s="62">
        <v>-25</v>
      </c>
      <c r="C101" t="s">
        <v>135</v>
      </c>
      <c r="D101" t="s">
        <v>383</v>
      </c>
    </row>
    <row r="102" spans="1:4">
      <c r="A102" s="4">
        <v>45864</v>
      </c>
      <c r="B102" s="62">
        <v>-17.82</v>
      </c>
      <c r="C102" t="s">
        <v>136</v>
      </c>
      <c r="D102" t="s">
        <v>385</v>
      </c>
    </row>
    <row r="103" spans="1:4">
      <c r="A103" s="4">
        <v>45864</v>
      </c>
      <c r="B103" s="62">
        <v>-0.55000000000000004</v>
      </c>
      <c r="C103" t="s">
        <v>137</v>
      </c>
      <c r="D103" t="s">
        <v>421</v>
      </c>
    </row>
    <row r="104" spans="1:4">
      <c r="A104" s="4">
        <v>45865</v>
      </c>
      <c r="B104" s="62">
        <v>-8.8800000000000008</v>
      </c>
      <c r="C104" t="s">
        <v>142</v>
      </c>
      <c r="D104" t="s">
        <v>410</v>
      </c>
    </row>
    <row r="105" spans="1:4">
      <c r="A105" s="4">
        <v>45865</v>
      </c>
      <c r="B105" s="62">
        <v>-1.59</v>
      </c>
      <c r="C105" t="s">
        <v>143</v>
      </c>
      <c r="D105" t="s">
        <v>421</v>
      </c>
    </row>
    <row r="106" spans="1:4">
      <c r="A106" s="4">
        <v>45866</v>
      </c>
      <c r="B106" s="62">
        <v>-100</v>
      </c>
      <c r="C106" t="s">
        <v>142</v>
      </c>
      <c r="D106" t="s">
        <v>388</v>
      </c>
    </row>
    <row r="107" spans="1:4">
      <c r="A107" s="4">
        <v>45866</v>
      </c>
      <c r="B107" s="62">
        <v>-10.51</v>
      </c>
      <c r="C107" t="s">
        <v>142</v>
      </c>
      <c r="D107" t="s">
        <v>422</v>
      </c>
    </row>
    <row r="108" spans="1:4">
      <c r="A108" s="4">
        <v>45866</v>
      </c>
      <c r="B108" s="62">
        <v>-27.05</v>
      </c>
      <c r="C108" t="s">
        <v>144</v>
      </c>
      <c r="D108" t="s">
        <v>423</v>
      </c>
    </row>
    <row r="109" spans="1:4">
      <c r="A109" s="4">
        <v>45866</v>
      </c>
      <c r="B109" s="62">
        <v>-16.309999999999999</v>
      </c>
      <c r="C109" t="s">
        <v>142</v>
      </c>
      <c r="D109" t="s">
        <v>410</v>
      </c>
    </row>
    <row r="110" spans="1:4">
      <c r="A110" s="4">
        <v>45866</v>
      </c>
      <c r="B110" s="62">
        <v>-1.5</v>
      </c>
      <c r="C110" t="s">
        <v>144</v>
      </c>
      <c r="D110" t="s">
        <v>424</v>
      </c>
    </row>
    <row r="111" spans="1:4">
      <c r="A111" s="4">
        <v>45867</v>
      </c>
      <c r="B111" s="62">
        <v>-4.5</v>
      </c>
      <c r="C111" t="s">
        <v>145</v>
      </c>
      <c r="D111" t="s">
        <v>408</v>
      </c>
    </row>
    <row r="112" spans="1:4">
      <c r="A112" s="4">
        <v>45867</v>
      </c>
      <c r="B112" s="62">
        <v>-8.3000000000000007</v>
      </c>
      <c r="C112" t="s">
        <v>145</v>
      </c>
      <c r="D112" t="s">
        <v>425</v>
      </c>
    </row>
    <row r="113" spans="1:4">
      <c r="A113" s="4">
        <v>45868</v>
      </c>
      <c r="B113" s="62">
        <v>-4</v>
      </c>
      <c r="C113" t="s">
        <v>146</v>
      </c>
      <c r="D113" t="s">
        <v>408</v>
      </c>
    </row>
    <row r="114" spans="1:4">
      <c r="A114" s="4">
        <v>45868</v>
      </c>
      <c r="B114" s="62">
        <v>-17.75</v>
      </c>
      <c r="C114" t="s">
        <v>147</v>
      </c>
      <c r="D114" t="s">
        <v>385</v>
      </c>
    </row>
    <row r="115" spans="1:4">
      <c r="A115" s="4">
        <v>45869</v>
      </c>
      <c r="B115" s="62">
        <v>-49</v>
      </c>
      <c r="C115" t="s">
        <v>148</v>
      </c>
      <c r="D115" t="s">
        <v>426</v>
      </c>
    </row>
    <row r="116" spans="1:4">
      <c r="A116" s="22">
        <v>45869</v>
      </c>
      <c r="B116" s="63">
        <v>-16.82</v>
      </c>
      <c r="C116" s="21" t="s">
        <v>149</v>
      </c>
      <c r="D116" t="s">
        <v>385</v>
      </c>
    </row>
    <row r="117" spans="1:4">
      <c r="A117" s="4">
        <v>45870</v>
      </c>
      <c r="B117" s="62">
        <v>-4</v>
      </c>
      <c r="C117" t="s">
        <v>150</v>
      </c>
      <c r="D117" t="s">
        <v>408</v>
      </c>
    </row>
    <row r="118" spans="1:4">
      <c r="A118" s="4">
        <v>45870</v>
      </c>
      <c r="B118" s="62">
        <v>-178</v>
      </c>
      <c r="C118" t="s">
        <v>151</v>
      </c>
      <c r="D118" t="s">
        <v>383</v>
      </c>
    </row>
    <row r="119" spans="1:4">
      <c r="A119" s="4">
        <v>45870</v>
      </c>
      <c r="B119" s="62">
        <v>-14.9</v>
      </c>
      <c r="C119" t="s">
        <v>152</v>
      </c>
      <c r="D119" t="s">
        <v>410</v>
      </c>
    </row>
    <row r="120" spans="1:4">
      <c r="A120" s="4">
        <v>45870</v>
      </c>
      <c r="B120" s="62">
        <v>-483.5</v>
      </c>
      <c r="C120" t="s">
        <v>225</v>
      </c>
      <c r="D120" t="s">
        <v>427</v>
      </c>
    </row>
    <row r="121" spans="1:4">
      <c r="A121" s="4">
        <v>45871</v>
      </c>
      <c r="B121" s="62">
        <v>-5</v>
      </c>
      <c r="C121" t="s">
        <v>153</v>
      </c>
      <c r="D121" t="s">
        <v>428</v>
      </c>
    </row>
    <row r="122" spans="1:4">
      <c r="A122" s="4">
        <v>45872</v>
      </c>
      <c r="B122" s="62">
        <v>-1.82</v>
      </c>
      <c r="C122" t="s">
        <v>154</v>
      </c>
      <c r="D122" t="s">
        <v>368</v>
      </c>
    </row>
    <row r="123" spans="1:4">
      <c r="A123" s="4">
        <v>45872</v>
      </c>
      <c r="B123" s="62">
        <v>-10.88</v>
      </c>
      <c r="C123" t="s">
        <v>155</v>
      </c>
      <c r="D123" t="s">
        <v>410</v>
      </c>
    </row>
    <row r="124" spans="1:4">
      <c r="A124" s="4">
        <v>45872</v>
      </c>
      <c r="B124" s="62">
        <v>-6</v>
      </c>
      <c r="C124" t="s">
        <v>156</v>
      </c>
      <c r="D124" t="s">
        <v>428</v>
      </c>
    </row>
    <row r="125" spans="1:4">
      <c r="A125" s="4">
        <v>45872</v>
      </c>
      <c r="B125" s="62">
        <v>-18.899999999999999</v>
      </c>
      <c r="C125" t="s">
        <v>157</v>
      </c>
      <c r="D125" t="s">
        <v>410</v>
      </c>
    </row>
    <row r="126" spans="1:4">
      <c r="A126" s="4">
        <v>45873</v>
      </c>
      <c r="B126" s="62">
        <v>-3</v>
      </c>
      <c r="C126" t="s">
        <v>158</v>
      </c>
      <c r="D126" t="s">
        <v>408</v>
      </c>
    </row>
    <row r="127" spans="1:4">
      <c r="A127" s="4">
        <v>45873</v>
      </c>
      <c r="B127" s="62">
        <v>-10</v>
      </c>
      <c r="C127" t="s">
        <v>158</v>
      </c>
      <c r="D127" t="s">
        <v>429</v>
      </c>
    </row>
    <row r="128" spans="1:4">
      <c r="A128" s="4">
        <v>45873</v>
      </c>
      <c r="B128" s="62">
        <v>-5.12</v>
      </c>
      <c r="C128" t="s">
        <v>159</v>
      </c>
      <c r="D128" t="s">
        <v>368</v>
      </c>
    </row>
    <row r="129" spans="1:4">
      <c r="A129" s="4">
        <v>45873</v>
      </c>
      <c r="B129" s="62">
        <v>-16.48</v>
      </c>
      <c r="C129" t="s">
        <v>159</v>
      </c>
      <c r="D129" t="s">
        <v>430</v>
      </c>
    </row>
    <row r="130" spans="1:4">
      <c r="A130" s="4">
        <v>45873</v>
      </c>
      <c r="B130" s="62">
        <v>-17.04</v>
      </c>
      <c r="C130" t="s">
        <v>159</v>
      </c>
      <c r="D130" t="s">
        <v>430</v>
      </c>
    </row>
    <row r="131" spans="1:4">
      <c r="A131" s="4">
        <v>45873</v>
      </c>
      <c r="B131" s="62">
        <v>-11.3</v>
      </c>
      <c r="C131" t="s">
        <v>160</v>
      </c>
      <c r="D131" t="s">
        <v>385</v>
      </c>
    </row>
    <row r="132" spans="1:4">
      <c r="A132" s="4">
        <v>45874</v>
      </c>
      <c r="B132" s="62">
        <v>-3.94</v>
      </c>
      <c r="C132" t="s">
        <v>161</v>
      </c>
      <c r="D132" t="s">
        <v>431</v>
      </c>
    </row>
    <row r="133" spans="1:4">
      <c r="A133" s="4">
        <v>45874</v>
      </c>
      <c r="B133" s="62">
        <v>-11.79</v>
      </c>
      <c r="C133" t="s">
        <v>162</v>
      </c>
      <c r="D133" t="s">
        <v>410</v>
      </c>
    </row>
    <row r="134" spans="1:4">
      <c r="A134" s="4">
        <v>45875</v>
      </c>
      <c r="B134" s="62">
        <v>-5</v>
      </c>
      <c r="C134" t="s">
        <v>158</v>
      </c>
      <c r="D134" t="s">
        <v>408</v>
      </c>
    </row>
    <row r="135" spans="1:4">
      <c r="A135" s="4">
        <v>45875</v>
      </c>
      <c r="B135" s="62">
        <v>-12.8</v>
      </c>
      <c r="C135" t="s">
        <v>158</v>
      </c>
      <c r="D135" t="s">
        <v>410</v>
      </c>
    </row>
    <row r="136" spans="1:4">
      <c r="A136" s="4">
        <v>45876</v>
      </c>
      <c r="B136" s="62">
        <v>-8</v>
      </c>
      <c r="C136" t="s">
        <v>172</v>
      </c>
      <c r="D136" t="s">
        <v>408</v>
      </c>
    </row>
    <row r="137" spans="1:4">
      <c r="A137" s="4">
        <v>45876</v>
      </c>
      <c r="B137" s="62">
        <v>-4.6399999999999997</v>
      </c>
      <c r="C137" t="s">
        <v>172</v>
      </c>
      <c r="D137" t="s">
        <v>431</v>
      </c>
    </row>
    <row r="138" spans="1:4">
      <c r="A138" s="4">
        <v>45876</v>
      </c>
      <c r="B138" s="62">
        <v>-5.81</v>
      </c>
      <c r="C138" t="s">
        <v>173</v>
      </c>
      <c r="D138" t="s">
        <v>432</v>
      </c>
    </row>
    <row r="139" spans="1:4">
      <c r="A139" s="4">
        <v>45876</v>
      </c>
      <c r="B139" s="62">
        <v>-4.59</v>
      </c>
      <c r="C139" t="s">
        <v>174</v>
      </c>
      <c r="D139" t="s">
        <v>369</v>
      </c>
    </row>
    <row r="140" spans="1:4">
      <c r="A140" s="4">
        <v>45876</v>
      </c>
      <c r="B140" s="62">
        <v>-10</v>
      </c>
      <c r="C140" t="s">
        <v>174</v>
      </c>
      <c r="D140" t="s">
        <v>410</v>
      </c>
    </row>
    <row r="141" spans="1:4">
      <c r="A141" s="4">
        <v>45877</v>
      </c>
      <c r="B141" s="62">
        <v>-4</v>
      </c>
      <c r="C141" t="s">
        <v>174</v>
      </c>
      <c r="D141" t="s">
        <v>408</v>
      </c>
    </row>
    <row r="142" spans="1:4">
      <c r="A142" s="4">
        <v>45877</v>
      </c>
      <c r="B142" s="62">
        <v>-15</v>
      </c>
      <c r="C142" t="s">
        <v>174</v>
      </c>
      <c r="D142" t="s">
        <v>433</v>
      </c>
    </row>
    <row r="143" spans="1:4">
      <c r="A143" s="4">
        <v>45877</v>
      </c>
      <c r="B143" s="62">
        <v>-18.8</v>
      </c>
      <c r="C143" t="s">
        <v>175</v>
      </c>
      <c r="D143" t="s">
        <v>385</v>
      </c>
    </row>
    <row r="144" spans="1:4">
      <c r="A144" s="4">
        <v>45878</v>
      </c>
      <c r="B144" s="62">
        <v>-10.88</v>
      </c>
      <c r="C144" t="s">
        <v>176</v>
      </c>
      <c r="D144" t="s">
        <v>410</v>
      </c>
    </row>
    <row r="145" spans="1:4">
      <c r="A145" s="4">
        <v>45879</v>
      </c>
      <c r="B145" s="62">
        <v>-18.899999999999999</v>
      </c>
      <c r="C145" t="s">
        <v>177</v>
      </c>
      <c r="D145" t="s">
        <v>434</v>
      </c>
    </row>
    <row r="146" spans="1:4">
      <c r="A146" s="4">
        <v>45879</v>
      </c>
      <c r="B146" s="62">
        <v>-9.9</v>
      </c>
      <c r="C146" t="s">
        <v>178</v>
      </c>
      <c r="D146" t="s">
        <v>435</v>
      </c>
    </row>
    <row r="147" spans="1:4">
      <c r="A147" s="4">
        <v>45879</v>
      </c>
      <c r="B147" s="62">
        <v>-12.99</v>
      </c>
      <c r="C147" t="s">
        <v>179</v>
      </c>
      <c r="D147" t="s">
        <v>385</v>
      </c>
    </row>
    <row r="148" spans="1:4">
      <c r="A148" s="4">
        <v>45879</v>
      </c>
      <c r="B148" s="62">
        <v>-16.7</v>
      </c>
      <c r="C148" t="s">
        <v>180</v>
      </c>
      <c r="D148" t="s">
        <v>385</v>
      </c>
    </row>
    <row r="149" spans="1:4">
      <c r="A149" s="4">
        <v>45879</v>
      </c>
      <c r="B149" s="62">
        <v>-50</v>
      </c>
      <c r="C149" t="s">
        <v>176</v>
      </c>
      <c r="D149" t="s">
        <v>436</v>
      </c>
    </row>
    <row r="150" spans="1:4">
      <c r="A150" s="4">
        <v>45880</v>
      </c>
      <c r="B150" s="62">
        <v>-2.5</v>
      </c>
      <c r="C150" t="s">
        <v>176</v>
      </c>
      <c r="D150" t="s">
        <v>437</v>
      </c>
    </row>
    <row r="151" spans="1:4">
      <c r="A151" s="4">
        <v>45880</v>
      </c>
      <c r="B151" s="62">
        <v>-15.7</v>
      </c>
      <c r="C151" t="s">
        <v>180</v>
      </c>
      <c r="D151" t="s">
        <v>385</v>
      </c>
    </row>
    <row r="152" spans="1:4">
      <c r="A152" s="4">
        <v>45881</v>
      </c>
      <c r="B152" s="62">
        <v>-3</v>
      </c>
      <c r="C152" t="s">
        <v>182</v>
      </c>
      <c r="D152" t="s">
        <v>408</v>
      </c>
    </row>
    <row r="153" spans="1:4">
      <c r="A153" s="4">
        <v>45881</v>
      </c>
      <c r="B153" s="62">
        <v>-4.78</v>
      </c>
      <c r="C153" t="s">
        <v>183</v>
      </c>
      <c r="D153" t="s">
        <v>369</v>
      </c>
    </row>
    <row r="154" spans="1:4">
      <c r="A154" s="4">
        <v>45882</v>
      </c>
      <c r="B154" s="62">
        <v>-13</v>
      </c>
      <c r="C154" t="s">
        <v>184</v>
      </c>
      <c r="D154" t="s">
        <v>438</v>
      </c>
    </row>
    <row r="155" spans="1:4">
      <c r="A155" s="4">
        <v>45882</v>
      </c>
      <c r="B155" s="62">
        <v>-2</v>
      </c>
      <c r="C155" t="s">
        <v>183</v>
      </c>
      <c r="D155" t="s">
        <v>439</v>
      </c>
    </row>
    <row r="156" spans="1:4">
      <c r="A156" s="4">
        <v>45882</v>
      </c>
      <c r="B156" s="62">
        <v>-37.5</v>
      </c>
      <c r="C156" t="s">
        <v>183</v>
      </c>
      <c r="D156" t="s">
        <v>440</v>
      </c>
    </row>
    <row r="157" spans="1:4">
      <c r="A157" s="4">
        <v>45882</v>
      </c>
      <c r="B157" s="62">
        <v>-17.7</v>
      </c>
      <c r="C157" t="s">
        <v>184</v>
      </c>
      <c r="D157" t="s">
        <v>410</v>
      </c>
    </row>
    <row r="158" spans="1:4">
      <c r="A158" s="4">
        <v>45883</v>
      </c>
      <c r="B158" s="62">
        <v>-3</v>
      </c>
      <c r="C158" t="s">
        <v>185</v>
      </c>
      <c r="D158" t="s">
        <v>408</v>
      </c>
    </row>
    <row r="159" spans="1:4">
      <c r="A159" s="4">
        <v>45883</v>
      </c>
      <c r="B159" s="62">
        <v>-9.5</v>
      </c>
      <c r="C159" t="s">
        <v>186</v>
      </c>
      <c r="D159" t="s">
        <v>369</v>
      </c>
    </row>
    <row r="160" spans="1:4">
      <c r="A160" s="4">
        <v>45883</v>
      </c>
      <c r="B160" s="62">
        <v>-15.16</v>
      </c>
      <c r="C160" t="s">
        <v>189</v>
      </c>
      <c r="D160" t="s">
        <v>441</v>
      </c>
    </row>
    <row r="161" spans="1:4">
      <c r="A161" s="4">
        <v>45884</v>
      </c>
      <c r="B161" s="62">
        <v>-3</v>
      </c>
      <c r="C161" t="s">
        <v>184</v>
      </c>
      <c r="D161" t="s">
        <v>408</v>
      </c>
    </row>
    <row r="162" spans="1:4">
      <c r="A162" s="4">
        <v>45884</v>
      </c>
      <c r="B162" s="62">
        <v>-13</v>
      </c>
      <c r="C162" t="s">
        <v>187</v>
      </c>
      <c r="D162" t="s">
        <v>442</v>
      </c>
    </row>
    <row r="163" spans="1:4">
      <c r="A163" s="4">
        <v>45884</v>
      </c>
      <c r="B163" s="62">
        <v>-100</v>
      </c>
      <c r="C163" t="s">
        <v>188</v>
      </c>
      <c r="D163" t="s">
        <v>388</v>
      </c>
    </row>
    <row r="164" spans="1:4">
      <c r="A164" s="4">
        <v>45884</v>
      </c>
      <c r="B164" s="62">
        <v>-2.75</v>
      </c>
      <c r="C164" t="s">
        <v>190</v>
      </c>
      <c r="D164" t="s">
        <v>443</v>
      </c>
    </row>
    <row r="165" spans="1:4">
      <c r="A165" s="4">
        <v>45884</v>
      </c>
      <c r="B165" s="62">
        <v>-0.8</v>
      </c>
      <c r="C165" t="s">
        <v>189</v>
      </c>
      <c r="D165" t="s">
        <v>444</v>
      </c>
    </row>
    <row r="166" spans="1:4">
      <c r="A166" s="4">
        <v>45885</v>
      </c>
      <c r="B166" s="62">
        <v>-15.9</v>
      </c>
      <c r="C166" t="s">
        <v>191</v>
      </c>
      <c r="D166" t="s">
        <v>410</v>
      </c>
    </row>
    <row r="167" spans="1:4">
      <c r="A167" s="4">
        <v>45885</v>
      </c>
      <c r="B167" s="62">
        <v>-12.69</v>
      </c>
      <c r="C167" t="s">
        <v>1</v>
      </c>
      <c r="D167" t="s">
        <v>445</v>
      </c>
    </row>
    <row r="168" spans="1:4">
      <c r="A168" s="4">
        <v>45885</v>
      </c>
      <c r="B168" s="62">
        <v>-3.65</v>
      </c>
      <c r="C168" t="s">
        <v>194</v>
      </c>
      <c r="D168" t="s">
        <v>446</v>
      </c>
    </row>
    <row r="169" spans="1:4">
      <c r="A169" s="4">
        <v>45885</v>
      </c>
      <c r="B169" s="62">
        <v>-7</v>
      </c>
      <c r="C169" t="s">
        <v>192</v>
      </c>
      <c r="D169" t="s">
        <v>447</v>
      </c>
    </row>
    <row r="170" spans="1:4">
      <c r="A170" s="4">
        <v>45886</v>
      </c>
      <c r="B170" s="62">
        <v>-13.4</v>
      </c>
      <c r="C170" t="s">
        <v>193</v>
      </c>
      <c r="D170" t="s">
        <v>448</v>
      </c>
    </row>
    <row r="171" spans="1:4">
      <c r="A171" s="4">
        <v>45887</v>
      </c>
      <c r="B171" s="62">
        <v>-4</v>
      </c>
      <c r="C171" t="s">
        <v>194</v>
      </c>
      <c r="D171" t="s">
        <v>408</v>
      </c>
    </row>
    <row r="172" spans="1:4">
      <c r="A172" s="4">
        <v>45887</v>
      </c>
      <c r="B172" s="62">
        <v>-17.7</v>
      </c>
      <c r="C172" t="s">
        <v>191</v>
      </c>
      <c r="D172" t="s">
        <v>410</v>
      </c>
    </row>
    <row r="173" spans="1:4">
      <c r="A173" s="4">
        <v>45888</v>
      </c>
      <c r="B173" s="62">
        <v>-5.5</v>
      </c>
      <c r="C173" t="s">
        <v>195</v>
      </c>
      <c r="D173" t="s">
        <v>449</v>
      </c>
    </row>
    <row r="174" spans="1:4">
      <c r="A174" s="4">
        <v>45888</v>
      </c>
      <c r="B174" s="62">
        <v>-8.6999999999999993</v>
      </c>
      <c r="C174" t="s">
        <v>196</v>
      </c>
      <c r="D174" t="s">
        <v>369</v>
      </c>
    </row>
    <row r="175" spans="1:4">
      <c r="A175" s="4">
        <v>45889</v>
      </c>
      <c r="B175" s="62">
        <v>-3</v>
      </c>
      <c r="C175" t="s">
        <v>197</v>
      </c>
      <c r="D175" t="s">
        <v>408</v>
      </c>
    </row>
    <row r="176" spans="1:4">
      <c r="A176" s="4">
        <v>45889</v>
      </c>
      <c r="B176" s="62">
        <v>-26.41</v>
      </c>
      <c r="C176" t="s">
        <v>197</v>
      </c>
      <c r="D176" t="s">
        <v>450</v>
      </c>
    </row>
    <row r="177" spans="1:4">
      <c r="A177" s="4">
        <v>45889</v>
      </c>
      <c r="B177" s="62">
        <v>-15.6</v>
      </c>
      <c r="C177" t="s">
        <v>198</v>
      </c>
      <c r="D177" t="s">
        <v>385</v>
      </c>
    </row>
    <row r="178" spans="1:4">
      <c r="A178" s="4">
        <v>45890</v>
      </c>
      <c r="B178" s="62">
        <v>-9</v>
      </c>
      <c r="C178" t="s">
        <v>1</v>
      </c>
      <c r="D178" t="s">
        <v>449</v>
      </c>
    </row>
    <row r="179" spans="1:4">
      <c r="A179" s="4">
        <v>45891</v>
      </c>
      <c r="B179" s="62">
        <v>-10</v>
      </c>
      <c r="C179" t="s">
        <v>0</v>
      </c>
      <c r="D179" t="s">
        <v>449</v>
      </c>
    </row>
    <row r="180" spans="1:4">
      <c r="A180" s="4">
        <v>45892</v>
      </c>
      <c r="B180" s="62">
        <v>-10.38</v>
      </c>
      <c r="C180" t="s">
        <v>0</v>
      </c>
      <c r="D180" t="s">
        <v>410</v>
      </c>
    </row>
    <row r="181" spans="1:4">
      <c r="A181" s="4">
        <v>45892</v>
      </c>
      <c r="B181" s="62">
        <v>-10</v>
      </c>
      <c r="C181" t="s">
        <v>0</v>
      </c>
      <c r="D181" t="s">
        <v>451</v>
      </c>
    </row>
    <row r="182" spans="1:4">
      <c r="A182" s="4">
        <v>45892</v>
      </c>
      <c r="B182" s="62">
        <v>-26.44</v>
      </c>
      <c r="C182" t="s">
        <v>0</v>
      </c>
      <c r="D182" t="s">
        <v>452</v>
      </c>
    </row>
    <row r="183" spans="1:4">
      <c r="A183" s="4">
        <v>45892</v>
      </c>
      <c r="B183" s="62">
        <v>-16.88</v>
      </c>
      <c r="C183" t="s">
        <v>1</v>
      </c>
      <c r="D183" t="s">
        <v>385</v>
      </c>
    </row>
    <row r="184" spans="1:4">
      <c r="A184" s="4">
        <v>45893</v>
      </c>
      <c r="B184" s="62">
        <v>-15.98</v>
      </c>
      <c r="C184" t="s">
        <v>0</v>
      </c>
      <c r="D184" t="s">
        <v>410</v>
      </c>
    </row>
    <row r="185" spans="1:4">
      <c r="A185" s="4">
        <v>45893</v>
      </c>
      <c r="B185" s="62">
        <v>-10.38</v>
      </c>
      <c r="C185" t="s">
        <v>0</v>
      </c>
      <c r="D185" t="s">
        <v>410</v>
      </c>
    </row>
    <row r="186" spans="1:4">
      <c r="A186" s="4">
        <v>45893</v>
      </c>
      <c r="B186" s="62">
        <v>-29.7</v>
      </c>
      <c r="C186" t="s">
        <v>0</v>
      </c>
      <c r="D186" t="s">
        <v>383</v>
      </c>
    </row>
    <row r="187" spans="1:4">
      <c r="A187" s="4">
        <v>45893</v>
      </c>
      <c r="B187" s="62">
        <v>-11.8</v>
      </c>
      <c r="C187" t="s">
        <v>0</v>
      </c>
      <c r="D187" t="s">
        <v>453</v>
      </c>
    </row>
    <row r="188" spans="1:4">
      <c r="A188" s="4">
        <v>45893</v>
      </c>
      <c r="B188" s="62">
        <v>-3</v>
      </c>
      <c r="C188" t="s">
        <v>1</v>
      </c>
      <c r="D188" t="s">
        <v>454</v>
      </c>
    </row>
    <row r="189" spans="1:4">
      <c r="A189" s="4">
        <v>45894</v>
      </c>
      <c r="B189" s="62">
        <v>-4.5</v>
      </c>
      <c r="C189" t="s">
        <v>0</v>
      </c>
      <c r="D189" t="s">
        <v>408</v>
      </c>
    </row>
    <row r="190" spans="1:4">
      <c r="A190" s="4">
        <v>45894</v>
      </c>
      <c r="B190" s="62">
        <v>-30.08</v>
      </c>
      <c r="C190" t="s">
        <v>1</v>
      </c>
      <c r="D190" t="s">
        <v>203</v>
      </c>
    </row>
    <row r="191" spans="1:4">
      <c r="A191" s="4">
        <v>45895</v>
      </c>
      <c r="B191" s="62">
        <v>-29</v>
      </c>
      <c r="C191" t="s">
        <v>1</v>
      </c>
      <c r="D191" t="s">
        <v>204</v>
      </c>
    </row>
    <row r="192" spans="1:4">
      <c r="A192" s="4">
        <v>45895</v>
      </c>
      <c r="B192" s="62">
        <v>-27.22</v>
      </c>
      <c r="C192" t="s">
        <v>1</v>
      </c>
      <c r="D192" t="s">
        <v>203</v>
      </c>
    </row>
    <row r="193" spans="1:4">
      <c r="A193" s="4">
        <v>45896</v>
      </c>
      <c r="B193" s="62">
        <v>-28</v>
      </c>
      <c r="C193" t="s">
        <v>202</v>
      </c>
      <c r="D193" t="s">
        <v>204</v>
      </c>
    </row>
    <row r="194" spans="1:4">
      <c r="A194" s="4">
        <v>45896</v>
      </c>
      <c r="B194" s="62">
        <v>-27.12</v>
      </c>
      <c r="C194" t="s">
        <v>1</v>
      </c>
      <c r="D194" t="s">
        <v>203</v>
      </c>
    </row>
    <row r="195" spans="1:4">
      <c r="A195" s="4">
        <v>45897</v>
      </c>
      <c r="B195" s="62">
        <v>-59.9</v>
      </c>
      <c r="C195" t="s">
        <v>0</v>
      </c>
      <c r="D195" t="s">
        <v>204</v>
      </c>
    </row>
    <row r="196" spans="1:4">
      <c r="A196" s="4">
        <v>45897</v>
      </c>
      <c r="B196" s="62">
        <v>-28.12</v>
      </c>
      <c r="C196" t="s">
        <v>1</v>
      </c>
      <c r="D196" t="s">
        <v>203</v>
      </c>
    </row>
    <row r="197" spans="1:4">
      <c r="A197" s="4">
        <v>45898</v>
      </c>
      <c r="B197" s="62">
        <v>-35</v>
      </c>
      <c r="C197" t="s">
        <v>0</v>
      </c>
      <c r="D197" t="s">
        <v>203</v>
      </c>
    </row>
    <row r="198" spans="1:4">
      <c r="A198" s="4">
        <v>45898</v>
      </c>
      <c r="B198" s="62">
        <v>-23.7</v>
      </c>
      <c r="C198" t="s">
        <v>1</v>
      </c>
      <c r="D198" t="s">
        <v>455</v>
      </c>
    </row>
    <row r="199" spans="1:4">
      <c r="A199" s="4">
        <v>45898</v>
      </c>
      <c r="B199" s="62">
        <v>-43</v>
      </c>
      <c r="C199" t="s">
        <v>0</v>
      </c>
      <c r="D199" t="s">
        <v>456</v>
      </c>
    </row>
    <row r="200" spans="1:4">
      <c r="A200" s="4">
        <v>45899</v>
      </c>
      <c r="B200" s="62">
        <v>-30</v>
      </c>
      <c r="C200" t="s">
        <v>1</v>
      </c>
      <c r="D200" t="s">
        <v>204</v>
      </c>
    </row>
    <row r="201" spans="1:4">
      <c r="A201" s="4">
        <v>45899</v>
      </c>
      <c r="B201" s="62">
        <v>-26.86</v>
      </c>
      <c r="C201" t="s">
        <v>1</v>
      </c>
      <c r="D201" t="s">
        <v>203</v>
      </c>
    </row>
    <row r="202" spans="1:4">
      <c r="A202" s="4">
        <v>45900</v>
      </c>
      <c r="B202" s="62">
        <v>-9.3800000000000008</v>
      </c>
      <c r="C202" t="s">
        <v>0</v>
      </c>
      <c r="D202" t="s">
        <v>410</v>
      </c>
    </row>
    <row r="203" spans="1:4">
      <c r="A203" s="4">
        <v>45900</v>
      </c>
      <c r="B203" s="62">
        <v>-7.92</v>
      </c>
      <c r="C203" t="s">
        <v>0</v>
      </c>
      <c r="D203" t="s">
        <v>453</v>
      </c>
    </row>
    <row r="204" spans="1:4">
      <c r="A204" s="4">
        <v>45900</v>
      </c>
      <c r="B204" s="62">
        <v>-29.67</v>
      </c>
      <c r="C204" t="s">
        <v>0</v>
      </c>
      <c r="D204" t="s">
        <v>383</v>
      </c>
    </row>
    <row r="205" spans="1:4">
      <c r="A205" s="15">
        <v>45900</v>
      </c>
      <c r="B205" s="64">
        <v>-67.430000000000007</v>
      </c>
      <c r="C205" s="14" t="s">
        <v>0</v>
      </c>
      <c r="D205" t="s">
        <v>457</v>
      </c>
    </row>
    <row r="206" spans="1:4">
      <c r="A206" s="4">
        <v>45901</v>
      </c>
      <c r="B206" s="62">
        <v>-438.7</v>
      </c>
      <c r="C206" t="s">
        <v>0</v>
      </c>
      <c r="D206" t="s">
        <v>458</v>
      </c>
    </row>
    <row r="207" spans="1:4">
      <c r="A207" s="4">
        <v>45901</v>
      </c>
      <c r="B207" s="62">
        <v>-14.9</v>
      </c>
      <c r="C207" t="s">
        <v>206</v>
      </c>
      <c r="D207" t="s">
        <v>459</v>
      </c>
    </row>
    <row r="208" spans="1:4">
      <c r="A208" s="4">
        <v>45901</v>
      </c>
      <c r="B208" s="62">
        <v>-3</v>
      </c>
      <c r="C208" t="s">
        <v>0</v>
      </c>
      <c r="D208" t="s">
        <v>408</v>
      </c>
    </row>
    <row r="209" spans="1:4">
      <c r="A209" s="4">
        <v>45901</v>
      </c>
      <c r="B209" s="62">
        <v>-17.809999999999999</v>
      </c>
      <c r="C209" t="s">
        <v>0</v>
      </c>
      <c r="D209" t="s">
        <v>410</v>
      </c>
    </row>
    <row r="210" spans="1:4">
      <c r="A210" s="4">
        <v>45902</v>
      </c>
      <c r="B210" s="62">
        <v>-5</v>
      </c>
      <c r="C210" t="s">
        <v>0</v>
      </c>
      <c r="D210" t="s">
        <v>408</v>
      </c>
    </row>
    <row r="211" spans="1:4">
      <c r="A211" s="4">
        <v>45902</v>
      </c>
      <c r="B211" s="62">
        <v>-0.2</v>
      </c>
      <c r="C211" t="s">
        <v>0</v>
      </c>
      <c r="D211" t="s">
        <v>460</v>
      </c>
    </row>
    <row r="212" spans="1:4">
      <c r="A212" s="4">
        <v>45903</v>
      </c>
      <c r="B212" s="62">
        <v>-1.5</v>
      </c>
      <c r="C212" t="s">
        <v>0</v>
      </c>
      <c r="D212" t="s">
        <v>408</v>
      </c>
    </row>
    <row r="213" spans="1:4">
      <c r="A213" s="4">
        <v>45903</v>
      </c>
      <c r="B213" s="62">
        <v>-13.98</v>
      </c>
      <c r="C213" t="s">
        <v>0</v>
      </c>
      <c r="D213" t="s">
        <v>410</v>
      </c>
    </row>
    <row r="214" spans="1:4">
      <c r="A214" s="4">
        <v>45903</v>
      </c>
      <c r="B214" s="62">
        <v>-47.3</v>
      </c>
      <c r="C214" t="s">
        <v>205</v>
      </c>
      <c r="D214" t="s">
        <v>461</v>
      </c>
    </row>
    <row r="215" spans="1:4">
      <c r="A215" s="4">
        <v>45904</v>
      </c>
      <c r="B215" s="62">
        <v>-1.5</v>
      </c>
      <c r="C215" t="s">
        <v>0</v>
      </c>
      <c r="D215" t="s">
        <v>408</v>
      </c>
    </row>
    <row r="216" spans="1:4">
      <c r="A216" s="4">
        <v>45904</v>
      </c>
      <c r="B216" s="62">
        <v>-78.56</v>
      </c>
      <c r="C216" t="s">
        <v>0</v>
      </c>
      <c r="D216" t="s">
        <v>76</v>
      </c>
    </row>
    <row r="217" spans="1:4">
      <c r="A217" s="4">
        <v>45904</v>
      </c>
      <c r="B217" s="62">
        <v>-7.59</v>
      </c>
      <c r="C217" t="s">
        <v>206</v>
      </c>
      <c r="D217" t="s">
        <v>462</v>
      </c>
    </row>
    <row r="218" spans="1:4">
      <c r="A218" s="4">
        <v>45904</v>
      </c>
      <c r="B218" s="62">
        <v>-0.5</v>
      </c>
      <c r="C218" t="s">
        <v>0</v>
      </c>
      <c r="D218" t="s">
        <v>463</v>
      </c>
    </row>
    <row r="219" spans="1:4">
      <c r="A219" s="4">
        <v>45905</v>
      </c>
      <c r="B219" s="62">
        <v>-1.5</v>
      </c>
      <c r="C219" t="s">
        <v>0</v>
      </c>
      <c r="D219" t="s">
        <v>408</v>
      </c>
    </row>
    <row r="220" spans="1:4">
      <c r="A220" s="4">
        <v>45905</v>
      </c>
      <c r="B220" s="62">
        <v>-19.899999999999999</v>
      </c>
      <c r="C220" t="s">
        <v>0</v>
      </c>
      <c r="D220" t="s">
        <v>410</v>
      </c>
    </row>
    <row r="221" spans="1:4">
      <c r="A221" s="4">
        <v>45906</v>
      </c>
      <c r="B221" s="62">
        <v>-6.88</v>
      </c>
      <c r="C221" t="s">
        <v>206</v>
      </c>
      <c r="D221" t="s">
        <v>459</v>
      </c>
    </row>
    <row r="222" spans="1:4">
      <c r="A222" s="4">
        <v>45906</v>
      </c>
      <c r="B222" s="62">
        <v>-6.9</v>
      </c>
      <c r="C222" t="s">
        <v>0</v>
      </c>
      <c r="D222" t="s">
        <v>410</v>
      </c>
    </row>
    <row r="223" spans="1:4">
      <c r="A223" s="4">
        <v>45906</v>
      </c>
      <c r="B223" s="62">
        <v>-2.5</v>
      </c>
      <c r="C223" t="s">
        <v>0</v>
      </c>
      <c r="D223" t="s">
        <v>464</v>
      </c>
    </row>
    <row r="224" spans="1:4">
      <c r="A224" s="4">
        <v>45906</v>
      </c>
      <c r="B224" s="62">
        <v>-100</v>
      </c>
      <c r="C224" t="s">
        <v>1</v>
      </c>
      <c r="D224" t="s">
        <v>388</v>
      </c>
    </row>
    <row r="225" spans="1:4">
      <c r="A225" s="4">
        <v>45907</v>
      </c>
      <c r="B225" s="62">
        <v>-42.75</v>
      </c>
      <c r="C225" t="s">
        <v>0</v>
      </c>
      <c r="D225" t="s">
        <v>465</v>
      </c>
    </row>
    <row r="226" spans="1:4">
      <c r="A226" s="4">
        <v>45907</v>
      </c>
      <c r="B226" s="62">
        <v>-23.5</v>
      </c>
      <c r="C226" t="s">
        <v>0</v>
      </c>
      <c r="D226" t="s">
        <v>465</v>
      </c>
    </row>
    <row r="227" spans="1:4">
      <c r="A227" s="4">
        <v>45907</v>
      </c>
      <c r="B227" s="62">
        <v>-6.9</v>
      </c>
      <c r="C227" t="s">
        <v>0</v>
      </c>
      <c r="D227" t="s">
        <v>410</v>
      </c>
    </row>
    <row r="228" spans="1:4">
      <c r="A228" s="4">
        <v>45907</v>
      </c>
      <c r="B228" s="62">
        <v>-4</v>
      </c>
      <c r="C228" t="s">
        <v>0</v>
      </c>
      <c r="D228" t="s">
        <v>428</v>
      </c>
    </row>
    <row r="229" spans="1:4">
      <c r="A229" s="4">
        <v>45907</v>
      </c>
      <c r="B229" s="62">
        <v>-38.5</v>
      </c>
      <c r="C229" t="s">
        <v>0</v>
      </c>
      <c r="D229" t="s">
        <v>466</v>
      </c>
    </row>
    <row r="230" spans="1:4">
      <c r="A230" s="4">
        <v>45907</v>
      </c>
      <c r="B230" s="62">
        <v>-29.81</v>
      </c>
      <c r="C230" t="s">
        <v>1</v>
      </c>
      <c r="D230" t="s">
        <v>467</v>
      </c>
    </row>
    <row r="231" spans="1:4">
      <c r="A231" s="4">
        <v>45908</v>
      </c>
      <c r="B231" s="62">
        <v>-1.5</v>
      </c>
      <c r="C231" t="s">
        <v>0</v>
      </c>
      <c r="D231" t="s">
        <v>408</v>
      </c>
    </row>
    <row r="232" spans="1:4">
      <c r="A232" s="4">
        <v>45908</v>
      </c>
      <c r="B232" s="62">
        <v>-10</v>
      </c>
      <c r="C232" t="s">
        <v>0</v>
      </c>
      <c r="D232" t="s">
        <v>468</v>
      </c>
    </row>
    <row r="233" spans="1:4">
      <c r="A233" s="4">
        <v>45908</v>
      </c>
      <c r="B233" s="62">
        <v>-10.9</v>
      </c>
      <c r="C233" t="s">
        <v>0</v>
      </c>
      <c r="D233" t="s">
        <v>410</v>
      </c>
    </row>
    <row r="234" spans="1:4">
      <c r="A234" s="4">
        <v>45908</v>
      </c>
      <c r="B234" s="62">
        <v>-16.899999999999999</v>
      </c>
      <c r="C234" t="s">
        <v>206</v>
      </c>
      <c r="D234" t="s">
        <v>469</v>
      </c>
    </row>
    <row r="235" spans="1:4">
      <c r="A235" s="4">
        <v>45908</v>
      </c>
      <c r="B235" s="62">
        <v>-21.5</v>
      </c>
      <c r="C235" t="s">
        <v>0</v>
      </c>
      <c r="D235" t="s">
        <v>383</v>
      </c>
    </row>
    <row r="236" spans="1:4">
      <c r="A236" s="4">
        <v>45909</v>
      </c>
      <c r="B236" s="62">
        <v>-1.5</v>
      </c>
      <c r="C236" t="s">
        <v>0</v>
      </c>
      <c r="D236" t="s">
        <v>368</v>
      </c>
    </row>
    <row r="237" spans="1:4">
      <c r="A237" s="4">
        <v>45909</v>
      </c>
      <c r="B237" s="62">
        <v>-3</v>
      </c>
      <c r="C237" t="s">
        <v>0</v>
      </c>
      <c r="D237" t="s">
        <v>408</v>
      </c>
    </row>
    <row r="238" spans="1:4">
      <c r="A238" s="4">
        <v>45909</v>
      </c>
      <c r="B238" s="62">
        <v>-14.9</v>
      </c>
      <c r="C238" t="s">
        <v>0</v>
      </c>
      <c r="D238" t="s">
        <v>470</v>
      </c>
    </row>
    <row r="239" spans="1:4">
      <c r="A239" s="4">
        <v>45909</v>
      </c>
      <c r="B239" s="62">
        <v>-15.9</v>
      </c>
      <c r="C239" t="s">
        <v>0</v>
      </c>
      <c r="D239" t="s">
        <v>410</v>
      </c>
    </row>
    <row r="240" spans="1:4">
      <c r="A240" s="4">
        <v>45910</v>
      </c>
      <c r="B240" s="62">
        <v>-3</v>
      </c>
      <c r="C240" t="s">
        <v>0</v>
      </c>
      <c r="D240" t="s">
        <v>408</v>
      </c>
    </row>
    <row r="241" spans="1:4">
      <c r="A241" s="4">
        <v>45910</v>
      </c>
      <c r="B241" s="62">
        <v>-4.1500000000000004</v>
      </c>
      <c r="C241" t="s">
        <v>1</v>
      </c>
      <c r="D241" t="s">
        <v>471</v>
      </c>
    </row>
    <row r="242" spans="1:4">
      <c r="A242" s="4">
        <v>45910</v>
      </c>
      <c r="B242" s="62">
        <v>-7.31</v>
      </c>
      <c r="C242" t="s">
        <v>1</v>
      </c>
      <c r="D242" t="s">
        <v>472</v>
      </c>
    </row>
    <row r="243" spans="1:4">
      <c r="A243" s="4">
        <v>45910</v>
      </c>
      <c r="B243" s="62">
        <v>-8.4</v>
      </c>
      <c r="C243" t="s">
        <v>0</v>
      </c>
      <c r="D243" t="s">
        <v>410</v>
      </c>
    </row>
    <row r="244" spans="1:4">
      <c r="A244" s="4">
        <v>45911</v>
      </c>
      <c r="B244" s="62">
        <v>-3</v>
      </c>
      <c r="C244" t="s">
        <v>0</v>
      </c>
      <c r="D244" t="s">
        <v>408</v>
      </c>
    </row>
    <row r="245" spans="1:4">
      <c r="A245" s="4">
        <v>45911</v>
      </c>
      <c r="B245" s="62">
        <v>-117</v>
      </c>
      <c r="C245" t="s">
        <v>0</v>
      </c>
      <c r="D245" t="s">
        <v>383</v>
      </c>
    </row>
    <row r="246" spans="1:4">
      <c r="A246" s="4">
        <v>45911</v>
      </c>
      <c r="B246" s="62">
        <v>-11.8</v>
      </c>
      <c r="C246" t="s">
        <v>0</v>
      </c>
      <c r="D246" t="s">
        <v>410</v>
      </c>
    </row>
    <row r="247" spans="1:4">
      <c r="A247" s="4">
        <v>45912</v>
      </c>
      <c r="B247" s="62">
        <v>-1</v>
      </c>
      <c r="C247" t="s">
        <v>1</v>
      </c>
      <c r="D247" t="s">
        <v>473</v>
      </c>
    </row>
    <row r="248" spans="1:4">
      <c r="A248" s="4">
        <v>45912</v>
      </c>
      <c r="B248" s="62">
        <v>-5.16</v>
      </c>
      <c r="C248" t="s">
        <v>1</v>
      </c>
      <c r="D248" t="s">
        <v>474</v>
      </c>
    </row>
    <row r="249" spans="1:4">
      <c r="A249" s="4">
        <v>45912</v>
      </c>
      <c r="B249" s="62">
        <v>-1.5</v>
      </c>
      <c r="C249" t="s">
        <v>0</v>
      </c>
      <c r="D249" t="s">
        <v>408</v>
      </c>
    </row>
    <row r="250" spans="1:4">
      <c r="A250" s="4">
        <v>45912</v>
      </c>
      <c r="B250" s="62">
        <v>-16</v>
      </c>
      <c r="C250" t="s">
        <v>0</v>
      </c>
      <c r="D250" t="s">
        <v>475</v>
      </c>
    </row>
    <row r="251" spans="1:4">
      <c r="A251" s="4">
        <v>45913</v>
      </c>
      <c r="B251" s="62">
        <v>-0.31</v>
      </c>
      <c r="C251" t="s">
        <v>1</v>
      </c>
      <c r="D251" t="s">
        <v>368</v>
      </c>
    </row>
    <row r="252" spans="1:4">
      <c r="A252" s="4">
        <v>45913</v>
      </c>
      <c r="B252" s="62">
        <v>-13.87</v>
      </c>
      <c r="C252" t="s">
        <v>206</v>
      </c>
      <c r="D252" t="s">
        <v>476</v>
      </c>
    </row>
    <row r="253" spans="1:4">
      <c r="A253" s="4">
        <v>45914</v>
      </c>
      <c r="B253" s="62">
        <v>-33.33</v>
      </c>
      <c r="C253" t="s">
        <v>206</v>
      </c>
      <c r="D253" t="s">
        <v>477</v>
      </c>
    </row>
    <row r="254" spans="1:4">
      <c r="A254" s="4">
        <v>45914</v>
      </c>
      <c r="B254" s="62">
        <v>-11.9</v>
      </c>
      <c r="C254" t="s">
        <v>0</v>
      </c>
      <c r="D254" t="s">
        <v>410</v>
      </c>
    </row>
    <row r="255" spans="1:4">
      <c r="A255" s="4">
        <v>45915</v>
      </c>
      <c r="B255" s="62">
        <v>-9.3800000000000008</v>
      </c>
      <c r="C255" t="s">
        <v>0</v>
      </c>
      <c r="D255" t="s">
        <v>410</v>
      </c>
    </row>
    <row r="256" spans="1:4">
      <c r="A256" s="4">
        <v>45915</v>
      </c>
      <c r="B256" s="62">
        <v>-5</v>
      </c>
      <c r="C256" t="s">
        <v>0</v>
      </c>
      <c r="D256" t="s">
        <v>478</v>
      </c>
    </row>
    <row r="257" spans="1:4">
      <c r="A257" s="4">
        <v>45915</v>
      </c>
      <c r="B257" s="62">
        <v>-14.9</v>
      </c>
      <c r="C257" t="s">
        <v>0</v>
      </c>
      <c r="D257" t="s">
        <v>410</v>
      </c>
    </row>
    <row r="258" spans="1:4">
      <c r="A258" s="4">
        <v>45916</v>
      </c>
      <c r="B258" s="62">
        <v>-1.5</v>
      </c>
      <c r="C258" t="s">
        <v>0</v>
      </c>
      <c r="D258" t="s">
        <v>408</v>
      </c>
    </row>
    <row r="259" spans="1:4">
      <c r="A259" s="4">
        <v>45916</v>
      </c>
      <c r="B259" s="62">
        <v>-2.99</v>
      </c>
      <c r="C259" t="s">
        <v>0</v>
      </c>
      <c r="D259" t="s">
        <v>479</v>
      </c>
    </row>
    <row r="260" spans="1:4">
      <c r="A260" s="4">
        <v>45916</v>
      </c>
      <c r="B260" s="62">
        <v>-0.99</v>
      </c>
      <c r="C260" t="s">
        <v>0</v>
      </c>
      <c r="D260" t="s">
        <v>368</v>
      </c>
    </row>
    <row r="261" spans="1:4">
      <c r="A261" s="4">
        <v>45916</v>
      </c>
      <c r="B261" s="62">
        <v>-9.9</v>
      </c>
      <c r="C261" t="s">
        <v>0</v>
      </c>
      <c r="D261" t="s">
        <v>410</v>
      </c>
    </row>
    <row r="262" spans="1:4">
      <c r="A262" s="4">
        <v>45917</v>
      </c>
      <c r="B262" s="62">
        <v>-1.5</v>
      </c>
      <c r="C262" t="s">
        <v>0</v>
      </c>
      <c r="D262" t="s">
        <v>408</v>
      </c>
    </row>
    <row r="263" spans="1:4">
      <c r="A263" s="4">
        <v>45917</v>
      </c>
      <c r="B263" s="62">
        <v>-200</v>
      </c>
      <c r="C263" t="s">
        <v>225</v>
      </c>
      <c r="D263" t="s">
        <v>480</v>
      </c>
    </row>
    <row r="264" spans="1:4">
      <c r="A264" s="4">
        <v>45917</v>
      </c>
      <c r="B264" s="62">
        <v>-8.8000000000000007</v>
      </c>
      <c r="C264" t="s">
        <v>0</v>
      </c>
      <c r="D264" t="s">
        <v>410</v>
      </c>
    </row>
    <row r="265" spans="1:4">
      <c r="A265" s="4">
        <v>45917</v>
      </c>
      <c r="B265" s="62">
        <v>-0.51</v>
      </c>
      <c r="C265" t="s">
        <v>1</v>
      </c>
      <c r="D265" t="s">
        <v>368</v>
      </c>
    </row>
    <row r="266" spans="1:4">
      <c r="A266" s="4">
        <v>45918</v>
      </c>
      <c r="B266" s="62">
        <v>-2</v>
      </c>
      <c r="C266" t="s">
        <v>1</v>
      </c>
      <c r="D266" t="s">
        <v>368</v>
      </c>
    </row>
    <row r="267" spans="1:4">
      <c r="A267" s="4">
        <v>45918</v>
      </c>
      <c r="B267" s="62">
        <v>-15.68</v>
      </c>
      <c r="C267" t="s">
        <v>1</v>
      </c>
      <c r="D267" t="s">
        <v>368</v>
      </c>
    </row>
    <row r="268" spans="1:4">
      <c r="A268" s="4">
        <v>45918</v>
      </c>
      <c r="B268" s="62">
        <v>-12.98</v>
      </c>
      <c r="C268" t="s">
        <v>220</v>
      </c>
      <c r="D268" t="s">
        <v>410</v>
      </c>
    </row>
    <row r="269" spans="1:4">
      <c r="A269" s="4">
        <v>45919</v>
      </c>
      <c r="B269" s="62">
        <v>-31</v>
      </c>
      <c r="C269" t="s">
        <v>1</v>
      </c>
      <c r="D269" t="s">
        <v>481</v>
      </c>
    </row>
    <row r="270" spans="1:4">
      <c r="A270" s="4">
        <v>45920</v>
      </c>
      <c r="B270" s="62">
        <v>-27.8</v>
      </c>
      <c r="C270" t="s">
        <v>0</v>
      </c>
      <c r="D270" t="s">
        <v>482</v>
      </c>
    </row>
    <row r="271" spans="1:4">
      <c r="A271" s="4">
        <v>45920</v>
      </c>
      <c r="B271" s="62">
        <v>-100</v>
      </c>
      <c r="C271" t="s">
        <v>0</v>
      </c>
      <c r="D271" t="s">
        <v>483</v>
      </c>
    </row>
    <row r="272" spans="1:4">
      <c r="A272" s="4">
        <v>45920</v>
      </c>
      <c r="B272" s="62">
        <v>-157</v>
      </c>
      <c r="C272" t="s">
        <v>0</v>
      </c>
      <c r="D272" t="s">
        <v>484</v>
      </c>
    </row>
    <row r="273" spans="1:4">
      <c r="A273" s="4">
        <v>45920</v>
      </c>
      <c r="B273" s="62">
        <v>-52.46</v>
      </c>
      <c r="C273" t="s">
        <v>0</v>
      </c>
      <c r="D273" t="s">
        <v>415</v>
      </c>
    </row>
    <row r="274" spans="1:4">
      <c r="A274" s="4">
        <v>45921</v>
      </c>
      <c r="B274" s="62">
        <v>-9.3800000000000008</v>
      </c>
      <c r="C274" t="s">
        <v>0</v>
      </c>
      <c r="D274" t="s">
        <v>410</v>
      </c>
    </row>
    <row r="275" spans="1:4">
      <c r="A275" s="4">
        <v>45921</v>
      </c>
      <c r="B275" s="62">
        <v>-12.8</v>
      </c>
      <c r="C275" t="s">
        <v>0</v>
      </c>
      <c r="D275" t="s">
        <v>410</v>
      </c>
    </row>
    <row r="276" spans="1:4">
      <c r="A276" s="4">
        <v>45922</v>
      </c>
      <c r="B276" s="62">
        <v>-1.5</v>
      </c>
      <c r="C276" t="s">
        <v>0</v>
      </c>
      <c r="D276" t="s">
        <v>408</v>
      </c>
    </row>
    <row r="277" spans="1:4">
      <c r="A277" s="4">
        <v>45922</v>
      </c>
      <c r="B277" s="62">
        <v>-8.3800000000000008</v>
      </c>
      <c r="C277" t="s">
        <v>0</v>
      </c>
      <c r="D277" t="s">
        <v>410</v>
      </c>
    </row>
    <row r="278" spans="1:4">
      <c r="A278" s="4">
        <v>45923</v>
      </c>
      <c r="B278" s="62">
        <v>-3</v>
      </c>
      <c r="C278" t="s">
        <v>0</v>
      </c>
      <c r="D278" t="s">
        <v>408</v>
      </c>
    </row>
    <row r="279" spans="1:4">
      <c r="A279" s="4">
        <v>45923</v>
      </c>
      <c r="B279" s="62">
        <v>-14.9</v>
      </c>
      <c r="C279" t="s">
        <v>0</v>
      </c>
      <c r="D279" t="s">
        <v>410</v>
      </c>
    </row>
    <row r="280" spans="1:4">
      <c r="A280" s="4">
        <v>45923</v>
      </c>
      <c r="B280" s="62">
        <v>-45</v>
      </c>
      <c r="C280" t="s">
        <v>0</v>
      </c>
      <c r="D280" t="s">
        <v>485</v>
      </c>
    </row>
    <row r="281" spans="1:4">
      <c r="A281" s="4">
        <v>45925</v>
      </c>
      <c r="B281" s="62">
        <v>-20.9</v>
      </c>
      <c r="C281" t="s">
        <v>0</v>
      </c>
      <c r="D281" t="s">
        <v>410</v>
      </c>
    </row>
    <row r="282" spans="1:4">
      <c r="A282" s="4">
        <v>45926</v>
      </c>
      <c r="B282" s="62">
        <v>-19.899999999999999</v>
      </c>
      <c r="C282" t="s">
        <v>0</v>
      </c>
      <c r="D282" t="s">
        <v>410</v>
      </c>
    </row>
    <row r="283" spans="1:4">
      <c r="A283" s="4">
        <v>45927</v>
      </c>
      <c r="B283" s="62">
        <v>-8</v>
      </c>
      <c r="C283" t="s">
        <v>230</v>
      </c>
      <c r="D283" t="s">
        <v>486</v>
      </c>
    </row>
    <row r="284" spans="1:4">
      <c r="A284" s="4">
        <v>45927</v>
      </c>
      <c r="B284" s="62">
        <v>-27</v>
      </c>
      <c r="C284" t="s">
        <v>231</v>
      </c>
      <c r="D284" t="s">
        <v>468</v>
      </c>
    </row>
    <row r="285" spans="1:4">
      <c r="A285" s="4">
        <v>45927</v>
      </c>
      <c r="B285" s="62">
        <v>-86</v>
      </c>
      <c r="C285" t="s">
        <v>232</v>
      </c>
      <c r="D285" t="s">
        <v>383</v>
      </c>
    </row>
    <row r="286" spans="1:4">
      <c r="A286" s="4">
        <v>45927</v>
      </c>
      <c r="B286" s="62">
        <v>-21.67</v>
      </c>
      <c r="C286" t="s">
        <v>233</v>
      </c>
      <c r="D286" t="s">
        <v>383</v>
      </c>
    </row>
    <row r="287" spans="1:4">
      <c r="A287" s="4">
        <v>45927</v>
      </c>
      <c r="B287" s="62">
        <v>-28</v>
      </c>
      <c r="C287" t="s">
        <v>233</v>
      </c>
      <c r="D287" t="s">
        <v>466</v>
      </c>
    </row>
    <row r="288" spans="1:4">
      <c r="A288" s="4">
        <v>45927</v>
      </c>
      <c r="B288" s="62">
        <v>-20</v>
      </c>
      <c r="C288" t="s">
        <v>233</v>
      </c>
      <c r="D288" t="s">
        <v>466</v>
      </c>
    </row>
    <row r="289" spans="1:4">
      <c r="A289" s="4">
        <v>45927</v>
      </c>
      <c r="B289" s="62">
        <v>-100</v>
      </c>
      <c r="C289" t="s">
        <v>235</v>
      </c>
      <c r="D289" t="s">
        <v>388</v>
      </c>
    </row>
    <row r="290" spans="1:4">
      <c r="A290" s="4">
        <v>45927</v>
      </c>
      <c r="B290" s="62">
        <v>-1.8</v>
      </c>
      <c r="C290" t="s">
        <v>234</v>
      </c>
      <c r="D290" t="s">
        <v>454</v>
      </c>
    </row>
    <row r="291" spans="1:4">
      <c r="A291" s="4">
        <v>45928</v>
      </c>
      <c r="B291" s="62">
        <v>-27.4</v>
      </c>
      <c r="C291" t="s">
        <v>1</v>
      </c>
      <c r="D291" t="s">
        <v>417</v>
      </c>
    </row>
    <row r="292" spans="1:4">
      <c r="A292" s="4">
        <v>45928</v>
      </c>
      <c r="B292" s="62">
        <v>-29.8</v>
      </c>
      <c r="C292" t="s">
        <v>0</v>
      </c>
      <c r="D292" t="s">
        <v>487</v>
      </c>
    </row>
    <row r="293" spans="1:4">
      <c r="A293" s="4">
        <v>45929</v>
      </c>
      <c r="B293" s="62">
        <v>-219</v>
      </c>
      <c r="C293" t="s">
        <v>1</v>
      </c>
      <c r="D293" t="s">
        <v>488</v>
      </c>
    </row>
    <row r="294" spans="1:4">
      <c r="A294" s="4">
        <v>45929</v>
      </c>
      <c r="B294" s="62">
        <v>-16.43</v>
      </c>
      <c r="C294" t="s">
        <v>0</v>
      </c>
      <c r="D294" t="s">
        <v>410</v>
      </c>
    </row>
    <row r="295" spans="1:4">
      <c r="A295" s="22">
        <v>45930</v>
      </c>
      <c r="B295" s="63">
        <v>-14.9</v>
      </c>
      <c r="C295" s="21" t="s">
        <v>0</v>
      </c>
      <c r="D295" t="s">
        <v>410</v>
      </c>
    </row>
    <row r="296" spans="1:4">
      <c r="A296" s="4">
        <v>45931</v>
      </c>
      <c r="B296" s="62">
        <v>-28.41</v>
      </c>
      <c r="C296" t="s">
        <v>0</v>
      </c>
      <c r="D296" t="s">
        <v>489</v>
      </c>
    </row>
    <row r="297" spans="1:4">
      <c r="A297" s="4">
        <v>45931</v>
      </c>
      <c r="B297" s="62">
        <v>-9.36</v>
      </c>
      <c r="C297" t="s">
        <v>225</v>
      </c>
      <c r="D297" t="s">
        <v>410</v>
      </c>
    </row>
    <row r="298" spans="1:4">
      <c r="A298" s="4">
        <v>45931</v>
      </c>
      <c r="B298" s="62">
        <v>-19.899999999999999</v>
      </c>
      <c r="C298" t="s">
        <v>0</v>
      </c>
      <c r="D298" t="s">
        <v>410</v>
      </c>
    </row>
    <row r="299" spans="1:4">
      <c r="A299" s="4">
        <v>45932</v>
      </c>
      <c r="B299" s="62">
        <v>-9.3800000000000008</v>
      </c>
      <c r="C299" t="s">
        <v>0</v>
      </c>
      <c r="D299" t="s">
        <v>410</v>
      </c>
    </row>
    <row r="300" spans="1:4">
      <c r="A300" s="4">
        <v>45932</v>
      </c>
      <c r="B300" s="62">
        <v>-469.51</v>
      </c>
      <c r="C300" t="s">
        <v>0</v>
      </c>
      <c r="D300" t="s">
        <v>490</v>
      </c>
    </row>
    <row r="301" spans="1:4">
      <c r="A301" s="4">
        <v>45933</v>
      </c>
      <c r="B301" s="62">
        <v>-12.4</v>
      </c>
      <c r="C301" t="s">
        <v>0</v>
      </c>
      <c r="D301" t="s">
        <v>410</v>
      </c>
    </row>
    <row r="302" spans="1:4">
      <c r="A302" s="4">
        <v>45933</v>
      </c>
      <c r="B302" s="62">
        <v>-19.899999999999999</v>
      </c>
      <c r="C302" t="s">
        <v>0</v>
      </c>
      <c r="D302" t="s">
        <v>410</v>
      </c>
    </row>
    <row r="303" spans="1:4">
      <c r="A303" s="4">
        <v>45933</v>
      </c>
      <c r="B303" s="62">
        <v>-112.25</v>
      </c>
      <c r="C303" t="s">
        <v>0</v>
      </c>
      <c r="D303" t="s">
        <v>491</v>
      </c>
    </row>
    <row r="304" spans="1:4">
      <c r="A304" s="4">
        <v>45933</v>
      </c>
      <c r="B304" s="62">
        <v>-11.1</v>
      </c>
      <c r="C304" t="s">
        <v>0</v>
      </c>
      <c r="D304" t="s">
        <v>410</v>
      </c>
    </row>
    <row r="305" spans="1:4">
      <c r="A305" s="4">
        <v>45934</v>
      </c>
      <c r="B305" s="62">
        <v>-9.3800000000000008</v>
      </c>
      <c r="C305" t="s">
        <v>0</v>
      </c>
      <c r="D305" t="s">
        <v>410</v>
      </c>
    </row>
    <row r="306" spans="1:4">
      <c r="A306" s="4">
        <v>45934</v>
      </c>
      <c r="B306" s="62">
        <v>-16.899999999999999</v>
      </c>
      <c r="C306" t="s">
        <v>0</v>
      </c>
      <c r="D306" t="s">
        <v>410</v>
      </c>
    </row>
    <row r="307" spans="1:4">
      <c r="A307" s="4">
        <v>45934</v>
      </c>
      <c r="B307" s="62">
        <v>-262</v>
      </c>
      <c r="C307" t="s">
        <v>1</v>
      </c>
      <c r="D307" t="s">
        <v>492</v>
      </c>
    </row>
    <row r="308" spans="1:4">
      <c r="A308" s="4">
        <v>45935</v>
      </c>
      <c r="B308" s="62">
        <v>-3000</v>
      </c>
      <c r="C308" t="s">
        <v>0</v>
      </c>
      <c r="D308" t="s">
        <v>493</v>
      </c>
    </row>
    <row r="309" spans="1:4">
      <c r="A309" s="4">
        <v>45935</v>
      </c>
      <c r="B309" s="62">
        <v>-5000</v>
      </c>
      <c r="C309" t="s">
        <v>245</v>
      </c>
      <c r="D309" t="s">
        <v>493</v>
      </c>
    </row>
    <row r="310" spans="1:4">
      <c r="A310" s="4">
        <v>45935</v>
      </c>
      <c r="B310" s="62">
        <v>-12.4</v>
      </c>
      <c r="C310" t="s">
        <v>0</v>
      </c>
      <c r="D310" t="s">
        <v>410</v>
      </c>
    </row>
    <row r="311" spans="1:4">
      <c r="A311" s="4">
        <v>45935</v>
      </c>
      <c r="B311" s="62">
        <v>-9.3800000000000008</v>
      </c>
      <c r="C311" t="s">
        <v>0</v>
      </c>
      <c r="D311" t="s">
        <v>410</v>
      </c>
    </row>
    <row r="312" spans="1:4">
      <c r="A312" s="4">
        <v>45935</v>
      </c>
      <c r="B312" s="62">
        <v>-14.4</v>
      </c>
      <c r="C312" t="s">
        <v>0</v>
      </c>
      <c r="D312" t="s">
        <v>494</v>
      </c>
    </row>
    <row r="313" spans="1:4">
      <c r="A313" s="4">
        <v>45936</v>
      </c>
      <c r="B313" s="62">
        <v>-16.98</v>
      </c>
      <c r="C313" t="s">
        <v>0</v>
      </c>
      <c r="D313" t="s">
        <v>410</v>
      </c>
    </row>
    <row r="314" spans="1:4">
      <c r="A314" s="4">
        <v>45937</v>
      </c>
      <c r="B314" s="62">
        <v>-10.6</v>
      </c>
      <c r="C314" t="s">
        <v>0</v>
      </c>
      <c r="D314" t="s">
        <v>410</v>
      </c>
    </row>
    <row r="315" spans="1:4">
      <c r="A315" s="4">
        <v>45937</v>
      </c>
      <c r="B315" s="62">
        <v>-117</v>
      </c>
      <c r="C315" t="s">
        <v>0</v>
      </c>
      <c r="D315" t="s">
        <v>383</v>
      </c>
    </row>
    <row r="316" spans="1:4">
      <c r="A316" s="4">
        <v>45937</v>
      </c>
      <c r="B316" s="62">
        <v>-4</v>
      </c>
      <c r="C316" t="s">
        <v>0</v>
      </c>
      <c r="D316" t="s">
        <v>454</v>
      </c>
    </row>
    <row r="317" spans="1:4">
      <c r="A317" s="4">
        <v>45938</v>
      </c>
      <c r="B317" s="62">
        <v>-55.5</v>
      </c>
      <c r="C317" t="s">
        <v>0</v>
      </c>
      <c r="D317" t="s">
        <v>495</v>
      </c>
    </row>
    <row r="318" spans="1:4">
      <c r="A318" s="4">
        <v>45938</v>
      </c>
      <c r="B318" s="62">
        <v>-33.159999999999997</v>
      </c>
      <c r="C318" t="s">
        <v>0</v>
      </c>
      <c r="D318" t="s">
        <v>410</v>
      </c>
    </row>
    <row r="319" spans="1:4">
      <c r="A319" s="4">
        <v>45938</v>
      </c>
      <c r="B319" s="62">
        <v>-28</v>
      </c>
      <c r="C319" t="s">
        <v>0</v>
      </c>
      <c r="D319" t="s">
        <v>496</v>
      </c>
    </row>
    <row r="320" spans="1:4">
      <c r="A320" s="4">
        <v>45939</v>
      </c>
      <c r="B320" s="62">
        <v>-19.899999999999999</v>
      </c>
      <c r="C320" t="s">
        <v>0</v>
      </c>
      <c r="D320" t="s">
        <v>410</v>
      </c>
    </row>
    <row r="321" spans="1:4">
      <c r="A321" s="4">
        <v>45940</v>
      </c>
      <c r="B321" s="62">
        <v>-3</v>
      </c>
      <c r="C321" t="s">
        <v>0</v>
      </c>
      <c r="D321" t="s">
        <v>408</v>
      </c>
    </row>
    <row r="322" spans="1:4">
      <c r="A322" s="4">
        <v>45940</v>
      </c>
      <c r="B322" s="62">
        <v>-14.88</v>
      </c>
      <c r="C322" t="s">
        <v>251</v>
      </c>
      <c r="D322" t="s">
        <v>410</v>
      </c>
    </row>
    <row r="323" spans="1:4">
      <c r="A323" s="4">
        <v>45940</v>
      </c>
      <c r="B323" s="62">
        <v>-97</v>
      </c>
      <c r="C323" t="s">
        <v>252</v>
      </c>
      <c r="D323" t="s">
        <v>497</v>
      </c>
    </row>
    <row r="324" spans="1:4">
      <c r="A324" s="4">
        <v>45940</v>
      </c>
      <c r="B324" s="62">
        <v>-251.06</v>
      </c>
      <c r="C324" t="s">
        <v>206</v>
      </c>
      <c r="D324" t="s">
        <v>498</v>
      </c>
    </row>
    <row r="325" spans="1:4">
      <c r="A325" s="4">
        <v>45940</v>
      </c>
      <c r="B325" s="62">
        <v>-17.5</v>
      </c>
      <c r="C325" t="s">
        <v>225</v>
      </c>
      <c r="D325" t="s">
        <v>499</v>
      </c>
    </row>
    <row r="326" spans="1:4">
      <c r="A326" s="4">
        <v>45941</v>
      </c>
      <c r="B326" s="62">
        <v>-14.9</v>
      </c>
      <c r="C326" t="s">
        <v>0</v>
      </c>
      <c r="D326" t="s">
        <v>410</v>
      </c>
    </row>
    <row r="327" spans="1:4">
      <c r="A327" s="25">
        <v>45942</v>
      </c>
      <c r="B327" s="65">
        <v>-14.8</v>
      </c>
      <c r="C327" s="26" t="s">
        <v>0</v>
      </c>
      <c r="D327" t="s">
        <v>410</v>
      </c>
    </row>
    <row r="328" spans="1:4">
      <c r="A328" s="25">
        <v>45942</v>
      </c>
      <c r="B328" s="65">
        <v>-97</v>
      </c>
      <c r="C328" s="26" t="s">
        <v>1</v>
      </c>
      <c r="D328" t="s">
        <v>500</v>
      </c>
    </row>
    <row r="329" spans="1:4">
      <c r="A329" s="25">
        <v>45942</v>
      </c>
      <c r="B329" s="65">
        <v>-20.9</v>
      </c>
      <c r="C329" s="26" t="s">
        <v>0</v>
      </c>
      <c r="D329" t="s">
        <v>410</v>
      </c>
    </row>
    <row r="330" spans="1:4">
      <c r="A330" s="25">
        <v>45943</v>
      </c>
      <c r="B330" s="65">
        <v>-25.9</v>
      </c>
      <c r="C330" s="26" t="s">
        <v>0</v>
      </c>
      <c r="D330" t="s">
        <v>410</v>
      </c>
    </row>
    <row r="331" spans="1:4">
      <c r="A331" s="25">
        <v>45944</v>
      </c>
      <c r="B331" s="65">
        <v>-8.3800000000000008</v>
      </c>
      <c r="C331" s="26" t="s">
        <v>0</v>
      </c>
      <c r="D331" t="s">
        <v>410</v>
      </c>
    </row>
    <row r="332" spans="1:4">
      <c r="A332" s="25">
        <v>45945</v>
      </c>
      <c r="B332" s="65">
        <v>-295.99</v>
      </c>
      <c r="C332" s="26" t="s">
        <v>205</v>
      </c>
      <c r="D332" t="s">
        <v>501</v>
      </c>
    </row>
    <row r="333" spans="1:4">
      <c r="A333" s="25">
        <v>45945</v>
      </c>
      <c r="B333" s="65">
        <v>-8.3800000000000008</v>
      </c>
      <c r="C333" s="26" t="s">
        <v>0</v>
      </c>
      <c r="D333" t="s">
        <v>410</v>
      </c>
    </row>
    <row r="334" spans="1:4">
      <c r="A334" s="25">
        <v>45945</v>
      </c>
      <c r="B334" s="65">
        <v>-22</v>
      </c>
      <c r="C334" s="26" t="s">
        <v>0</v>
      </c>
      <c r="D334" t="s">
        <v>502</v>
      </c>
    </row>
    <row r="335" spans="1:4">
      <c r="A335" s="25">
        <v>45945</v>
      </c>
      <c r="B335" s="65">
        <v>-119.8</v>
      </c>
      <c r="C335" s="26" t="s">
        <v>0</v>
      </c>
      <c r="D335" t="s">
        <v>503</v>
      </c>
    </row>
    <row r="336" spans="1:4">
      <c r="A336" s="25">
        <v>45945</v>
      </c>
      <c r="B336" s="65">
        <v>-109</v>
      </c>
      <c r="C336" s="26" t="s">
        <v>1</v>
      </c>
      <c r="D336" t="s">
        <v>504</v>
      </c>
    </row>
    <row r="337" spans="1:4">
      <c r="A337" s="25">
        <v>45946</v>
      </c>
      <c r="B337" s="65">
        <v>-129.9</v>
      </c>
      <c r="C337" s="26" t="s">
        <v>1</v>
      </c>
      <c r="D337" t="s">
        <v>497</v>
      </c>
    </row>
    <row r="338" spans="1:4">
      <c r="A338" s="25">
        <v>45946</v>
      </c>
      <c r="B338" s="65">
        <v>-78</v>
      </c>
      <c r="C338" s="26" t="s">
        <v>1</v>
      </c>
      <c r="D338" t="s">
        <v>505</v>
      </c>
    </row>
    <row r="339" spans="1:4">
      <c r="A339" s="25">
        <v>45946</v>
      </c>
      <c r="B339" s="65">
        <v>-13.99</v>
      </c>
      <c r="C339" s="26" t="s">
        <v>1</v>
      </c>
      <c r="D339" t="s">
        <v>506</v>
      </c>
    </row>
    <row r="340" spans="1:4">
      <c r="A340" s="25">
        <v>45946</v>
      </c>
      <c r="B340" s="65">
        <v>-100</v>
      </c>
      <c r="C340" s="26" t="s">
        <v>0</v>
      </c>
      <c r="D340" t="s">
        <v>388</v>
      </c>
    </row>
    <row r="341" spans="1:4">
      <c r="A341" s="25">
        <v>45946</v>
      </c>
      <c r="B341" s="65">
        <v>-8.9</v>
      </c>
      <c r="C341" s="26" t="s">
        <v>0</v>
      </c>
      <c r="D341" t="s">
        <v>410</v>
      </c>
    </row>
    <row r="342" spans="1:4">
      <c r="A342" s="25">
        <v>45946</v>
      </c>
      <c r="B342" s="65">
        <v>-8.6999999999999993</v>
      </c>
      <c r="C342" s="26" t="s">
        <v>0</v>
      </c>
      <c r="D342" t="s">
        <v>507</v>
      </c>
    </row>
    <row r="343" spans="1:4">
      <c r="A343" s="25">
        <v>45946</v>
      </c>
      <c r="B343" s="65">
        <v>-13</v>
      </c>
      <c r="C343" s="26" t="s">
        <v>206</v>
      </c>
      <c r="D343" t="s">
        <v>508</v>
      </c>
    </row>
    <row r="344" spans="1:4">
      <c r="A344" s="25">
        <v>45947</v>
      </c>
      <c r="B344" s="65">
        <v>-16.8</v>
      </c>
      <c r="C344" s="26" t="s">
        <v>0</v>
      </c>
      <c r="D344" t="s">
        <v>410</v>
      </c>
    </row>
    <row r="345" spans="1:4">
      <c r="A345" s="25">
        <v>45947</v>
      </c>
      <c r="B345" s="65">
        <v>-18.8</v>
      </c>
      <c r="C345" s="26" t="s">
        <v>1</v>
      </c>
      <c r="D345" t="s">
        <v>509</v>
      </c>
    </row>
    <row r="346" spans="1:4">
      <c r="A346" s="25">
        <v>45948</v>
      </c>
      <c r="B346" s="65">
        <v>-14.89</v>
      </c>
      <c r="C346" t="s">
        <v>0</v>
      </c>
      <c r="D346" t="s">
        <v>510</v>
      </c>
    </row>
    <row r="347" spans="1:4">
      <c r="A347" s="25">
        <v>45948</v>
      </c>
      <c r="B347" s="65">
        <v>-8.6</v>
      </c>
      <c r="C347" t="s">
        <v>0</v>
      </c>
      <c r="D347" t="s">
        <v>510</v>
      </c>
    </row>
    <row r="348" spans="1:4">
      <c r="A348" s="25">
        <v>45948</v>
      </c>
      <c r="B348" s="65">
        <v>-83</v>
      </c>
      <c r="C348" t="s">
        <v>277</v>
      </c>
      <c r="D348" t="s">
        <v>511</v>
      </c>
    </row>
    <row r="349" spans="1:4">
      <c r="A349" s="25">
        <v>45948</v>
      </c>
      <c r="B349" s="65">
        <v>-5</v>
      </c>
      <c r="C349" t="s">
        <v>0</v>
      </c>
      <c r="D349" t="s">
        <v>512</v>
      </c>
    </row>
    <row r="350" spans="1:4">
      <c r="A350" s="25">
        <v>45948</v>
      </c>
      <c r="B350" s="65">
        <v>-38</v>
      </c>
      <c r="C350" t="s">
        <v>0</v>
      </c>
      <c r="D350" t="s">
        <v>513</v>
      </c>
    </row>
    <row r="351" spans="1:4">
      <c r="A351" s="25">
        <v>45948</v>
      </c>
      <c r="B351" s="65">
        <v>-34</v>
      </c>
      <c r="C351" t="s">
        <v>0</v>
      </c>
      <c r="D351" t="s">
        <v>514</v>
      </c>
    </row>
    <row r="352" spans="1:4">
      <c r="A352" s="25">
        <v>45948</v>
      </c>
      <c r="B352" s="65">
        <v>-20</v>
      </c>
      <c r="C352" t="s">
        <v>0</v>
      </c>
      <c r="D352" t="s">
        <v>515</v>
      </c>
    </row>
    <row r="353" spans="1:4">
      <c r="A353" s="25">
        <v>45948</v>
      </c>
      <c r="B353" s="65">
        <v>-13.4</v>
      </c>
      <c r="C353" t="s">
        <v>1</v>
      </c>
      <c r="D353" t="s">
        <v>516</v>
      </c>
    </row>
    <row r="354" spans="1:4">
      <c r="A354" s="25">
        <v>45948</v>
      </c>
      <c r="B354" s="65">
        <v>-2000</v>
      </c>
      <c r="C354" t="s">
        <v>0</v>
      </c>
      <c r="D354" t="s">
        <v>517</v>
      </c>
    </row>
    <row r="355" spans="1:4">
      <c r="A355" s="25">
        <v>45949</v>
      </c>
      <c r="B355" s="65">
        <v>-9.6</v>
      </c>
      <c r="C355" t="s">
        <v>0</v>
      </c>
      <c r="D355" t="s">
        <v>510</v>
      </c>
    </row>
    <row r="356" spans="1:4">
      <c r="A356" s="25">
        <v>45949</v>
      </c>
      <c r="B356" s="65">
        <v>-13.49</v>
      </c>
      <c r="C356" t="s">
        <v>1</v>
      </c>
      <c r="D356" t="s">
        <v>516</v>
      </c>
    </row>
    <row r="357" spans="1:4">
      <c r="A357" s="25">
        <v>45949</v>
      </c>
      <c r="B357" s="65">
        <v>-14.8</v>
      </c>
      <c r="C357" t="s">
        <v>0</v>
      </c>
      <c r="D357" t="s">
        <v>510</v>
      </c>
    </row>
    <row r="358" spans="1:4">
      <c r="A358" s="25">
        <v>45950</v>
      </c>
      <c r="B358" s="65">
        <v>-3</v>
      </c>
      <c r="C358" t="s">
        <v>0</v>
      </c>
      <c r="D358" t="s">
        <v>437</v>
      </c>
    </row>
    <row r="359" spans="1:4">
      <c r="A359" s="25">
        <v>45950</v>
      </c>
      <c r="B359" s="65">
        <v>-15.8</v>
      </c>
      <c r="C359" t="s">
        <v>0</v>
      </c>
      <c r="D359" t="s">
        <v>410</v>
      </c>
    </row>
    <row r="360" spans="1:4">
      <c r="A360" s="25">
        <v>45950</v>
      </c>
      <c r="B360" s="65">
        <v>-9.8000000000000007</v>
      </c>
      <c r="C360" t="s">
        <v>1</v>
      </c>
      <c r="D360" t="s">
        <v>518</v>
      </c>
    </row>
    <row r="361" spans="1:4">
      <c r="A361" s="4">
        <v>45951</v>
      </c>
      <c r="B361" s="65">
        <v>-3</v>
      </c>
      <c r="C361" t="s">
        <v>0</v>
      </c>
      <c r="D361" t="s">
        <v>437</v>
      </c>
    </row>
    <row r="362" spans="1:4">
      <c r="A362" s="4">
        <v>45951</v>
      </c>
      <c r="B362" s="65">
        <v>-17.98</v>
      </c>
      <c r="C362" t="s">
        <v>0</v>
      </c>
      <c r="D362" t="s">
        <v>410</v>
      </c>
    </row>
    <row r="363" spans="1:4">
      <c r="A363" s="4">
        <v>45952</v>
      </c>
      <c r="B363" s="65">
        <v>-3</v>
      </c>
      <c r="C363" t="s">
        <v>0</v>
      </c>
      <c r="D363" t="s">
        <v>437</v>
      </c>
    </row>
    <row r="364" spans="1:4">
      <c r="A364" s="4">
        <v>45952</v>
      </c>
      <c r="B364" s="65">
        <v>-14.9</v>
      </c>
      <c r="C364" t="s">
        <v>0</v>
      </c>
      <c r="D364" t="s">
        <v>410</v>
      </c>
    </row>
    <row r="365" spans="1:4">
      <c r="A365" s="4">
        <v>45953</v>
      </c>
      <c r="B365" s="65">
        <v>-3</v>
      </c>
      <c r="C365" t="s">
        <v>0</v>
      </c>
      <c r="D365" t="s">
        <v>437</v>
      </c>
    </row>
    <row r="366" spans="1:4">
      <c r="A366" s="4">
        <v>45953</v>
      </c>
      <c r="B366" s="65">
        <v>-17.899999999999999</v>
      </c>
      <c r="C366" t="s">
        <v>0</v>
      </c>
      <c r="D366" t="s">
        <v>410</v>
      </c>
    </row>
    <row r="367" spans="1:4">
      <c r="A367" s="4">
        <v>45954</v>
      </c>
      <c r="B367" s="65">
        <v>-3</v>
      </c>
      <c r="C367" t="s">
        <v>0</v>
      </c>
      <c r="D367" t="s">
        <v>437</v>
      </c>
    </row>
    <row r="368" spans="1:4">
      <c r="A368" s="4">
        <v>45954</v>
      </c>
      <c r="B368" s="65">
        <v>-15.8</v>
      </c>
      <c r="C368" t="s">
        <v>0</v>
      </c>
      <c r="D368" t="s">
        <v>410</v>
      </c>
    </row>
    <row r="369" spans="1:4">
      <c r="A369" s="4">
        <v>45955</v>
      </c>
      <c r="B369" s="65">
        <v>-14.8</v>
      </c>
      <c r="C369" t="s">
        <v>0</v>
      </c>
      <c r="D369" t="s">
        <v>410</v>
      </c>
    </row>
    <row r="370" spans="1:4">
      <c r="A370" s="4">
        <v>45955</v>
      </c>
      <c r="B370" s="65">
        <v>-13.3</v>
      </c>
      <c r="C370" t="s">
        <v>0</v>
      </c>
      <c r="D370" t="s">
        <v>410</v>
      </c>
    </row>
    <row r="371" spans="1:4">
      <c r="A371" s="4">
        <v>45955</v>
      </c>
      <c r="B371" s="65">
        <v>-26.1</v>
      </c>
      <c r="C371" t="s">
        <v>0</v>
      </c>
      <c r="D371" t="s">
        <v>519</v>
      </c>
    </row>
    <row r="372" spans="1:4">
      <c r="A372" s="4">
        <v>45955</v>
      </c>
      <c r="B372" s="65">
        <v>-3.7</v>
      </c>
      <c r="C372" t="s">
        <v>0</v>
      </c>
      <c r="D372" t="s">
        <v>519</v>
      </c>
    </row>
    <row r="373" spans="1:4">
      <c r="A373" s="4">
        <v>45956</v>
      </c>
      <c r="B373" s="65">
        <v>-10.9</v>
      </c>
      <c r="C373" t="s">
        <v>0</v>
      </c>
      <c r="D373" t="s">
        <v>410</v>
      </c>
    </row>
    <row r="374" spans="1:4">
      <c r="A374" s="4">
        <v>45956</v>
      </c>
      <c r="B374" s="65">
        <v>-5</v>
      </c>
      <c r="C374" t="s">
        <v>0</v>
      </c>
      <c r="D374" t="s">
        <v>520</v>
      </c>
    </row>
    <row r="375" spans="1:4">
      <c r="A375" s="4">
        <v>45956</v>
      </c>
      <c r="B375" s="65">
        <v>-30</v>
      </c>
      <c r="C375" t="s">
        <v>0</v>
      </c>
      <c r="D375" t="s">
        <v>521</v>
      </c>
    </row>
    <row r="376" spans="1:4">
      <c r="A376" s="4">
        <v>45957</v>
      </c>
      <c r="B376" s="65">
        <v>-3</v>
      </c>
      <c r="C376" t="s">
        <v>0</v>
      </c>
      <c r="D376" t="s">
        <v>437</v>
      </c>
    </row>
    <row r="377" spans="1:4">
      <c r="A377" s="4">
        <v>45957</v>
      </c>
      <c r="B377" s="65">
        <v>-12.9</v>
      </c>
      <c r="C377" t="s">
        <v>0</v>
      </c>
      <c r="D377" t="s">
        <v>410</v>
      </c>
    </row>
    <row r="378" spans="1:4">
      <c r="A378" s="4">
        <v>45958</v>
      </c>
      <c r="B378" s="65">
        <v>-3</v>
      </c>
      <c r="C378" t="s">
        <v>0</v>
      </c>
      <c r="D378" t="s">
        <v>437</v>
      </c>
    </row>
    <row r="379" spans="1:4">
      <c r="A379" s="4">
        <v>45958</v>
      </c>
      <c r="B379" s="65">
        <v>-15.3</v>
      </c>
      <c r="C379" t="s">
        <v>0</v>
      </c>
      <c r="D379" t="s">
        <v>410</v>
      </c>
    </row>
    <row r="380" spans="1:4">
      <c r="A380" s="4">
        <v>45959</v>
      </c>
      <c r="B380" s="65">
        <v>-100</v>
      </c>
      <c r="C380" t="s">
        <v>0</v>
      </c>
      <c r="D380" t="s">
        <v>388</v>
      </c>
    </row>
    <row r="381" spans="1:4">
      <c r="A381" s="4">
        <v>45959</v>
      </c>
      <c r="B381" s="65">
        <v>-9.3800000000000008</v>
      </c>
      <c r="C381" t="s">
        <v>0</v>
      </c>
      <c r="D381" t="s">
        <v>410</v>
      </c>
    </row>
    <row r="382" spans="1:4">
      <c r="A382" s="4">
        <v>45960</v>
      </c>
      <c r="B382" s="65">
        <v>-3</v>
      </c>
      <c r="C382" t="s">
        <v>0</v>
      </c>
      <c r="D382" t="s">
        <v>437</v>
      </c>
    </row>
    <row r="383" spans="1:4">
      <c r="A383" s="4">
        <v>45960</v>
      </c>
      <c r="B383" s="65">
        <v>-15.8</v>
      </c>
      <c r="C383" t="s">
        <v>0</v>
      </c>
      <c r="D383" t="s">
        <v>410</v>
      </c>
    </row>
    <row r="384" spans="1:4">
      <c r="A384" s="4">
        <v>45961</v>
      </c>
      <c r="B384" s="65">
        <v>-15.8</v>
      </c>
      <c r="C384" t="s">
        <v>0</v>
      </c>
      <c r="D384" t="s">
        <v>410</v>
      </c>
    </row>
    <row r="385" spans="1:4">
      <c r="A385" s="4">
        <v>45961</v>
      </c>
      <c r="B385" s="65">
        <v>-2.5</v>
      </c>
      <c r="C385" t="s">
        <v>0</v>
      </c>
      <c r="D385" t="s">
        <v>437</v>
      </c>
    </row>
    <row r="386" spans="1:4">
      <c r="A386" s="4">
        <v>45962</v>
      </c>
      <c r="B386" s="65">
        <v>-10.9</v>
      </c>
      <c r="C386" t="s">
        <v>0</v>
      </c>
      <c r="D386" t="s">
        <v>410</v>
      </c>
    </row>
    <row r="387" spans="1:4">
      <c r="A387" s="4">
        <v>45963</v>
      </c>
      <c r="B387" s="65">
        <v>-451.71</v>
      </c>
      <c r="C387" t="s">
        <v>0</v>
      </c>
      <c r="D387" t="s">
        <v>522</v>
      </c>
    </row>
    <row r="388" spans="1:4">
      <c r="A388" s="4">
        <v>45963</v>
      </c>
      <c r="B388" s="65">
        <v>-30</v>
      </c>
      <c r="C388" t="s">
        <v>0</v>
      </c>
      <c r="D388" t="s">
        <v>523</v>
      </c>
    </row>
    <row r="389" spans="1:4">
      <c r="A389" s="4">
        <v>45963</v>
      </c>
      <c r="B389" s="65">
        <v>-89</v>
      </c>
      <c r="C389" t="s">
        <v>0</v>
      </c>
      <c r="D389" t="s">
        <v>524</v>
      </c>
    </row>
    <row r="390" spans="1:4">
      <c r="A390" s="4">
        <v>45963</v>
      </c>
      <c r="B390" s="65">
        <v>-24.8</v>
      </c>
      <c r="C390" t="s">
        <v>0</v>
      </c>
      <c r="D390" t="s">
        <v>525</v>
      </c>
    </row>
    <row r="391" spans="1:4">
      <c r="A391" s="4">
        <v>45964</v>
      </c>
      <c r="B391" s="65">
        <v>-2</v>
      </c>
      <c r="C391" t="s">
        <v>0</v>
      </c>
      <c r="D391" t="s">
        <v>437</v>
      </c>
    </row>
    <row r="392" spans="1:4">
      <c r="A392" s="4">
        <v>45964</v>
      </c>
      <c r="B392" s="65">
        <v>-10.9</v>
      </c>
      <c r="C392" t="s">
        <v>0</v>
      </c>
      <c r="D392" t="s">
        <v>410</v>
      </c>
    </row>
    <row r="393" spans="1:4">
      <c r="A393" s="4">
        <v>45965</v>
      </c>
      <c r="B393" s="65">
        <v>-3</v>
      </c>
      <c r="C393" t="s">
        <v>0</v>
      </c>
      <c r="D393" t="s">
        <v>437</v>
      </c>
    </row>
    <row r="394" spans="1:4">
      <c r="A394" s="4">
        <v>45965</v>
      </c>
      <c r="B394" s="65">
        <v>-15.3</v>
      </c>
      <c r="C394" t="s">
        <v>281</v>
      </c>
      <c r="D394" t="s">
        <v>410</v>
      </c>
    </row>
    <row r="395" spans="1:4">
      <c r="A395" s="4">
        <v>45965</v>
      </c>
      <c r="B395" s="65">
        <v>-18.309999999999999</v>
      </c>
      <c r="C395" t="s">
        <v>282</v>
      </c>
      <c r="D395" t="s">
        <v>526</v>
      </c>
    </row>
    <row r="396" spans="1:4">
      <c r="A396" s="4">
        <v>45966</v>
      </c>
      <c r="B396" s="65">
        <v>-2</v>
      </c>
      <c r="C396" t="s">
        <v>1</v>
      </c>
      <c r="D396" t="s">
        <v>437</v>
      </c>
    </row>
    <row r="397" spans="1:4">
      <c r="A397" s="4">
        <v>45966</v>
      </c>
      <c r="B397" s="65">
        <v>-1.5</v>
      </c>
      <c r="C397" t="s">
        <v>0</v>
      </c>
      <c r="D397" t="s">
        <v>368</v>
      </c>
    </row>
    <row r="398" spans="1:4">
      <c r="A398" s="4">
        <v>45966</v>
      </c>
      <c r="B398" s="65">
        <v>-8.3800000000000008</v>
      </c>
      <c r="C398" t="s">
        <v>283</v>
      </c>
      <c r="D398" t="s">
        <v>410</v>
      </c>
    </row>
    <row r="399" spans="1:4">
      <c r="A399" s="4">
        <v>45967</v>
      </c>
      <c r="B399" s="65">
        <v>-100</v>
      </c>
      <c r="C399" t="s">
        <v>283</v>
      </c>
      <c r="D399" t="s">
        <v>388</v>
      </c>
    </row>
    <row r="400" spans="1:4">
      <c r="A400" s="4">
        <v>45967</v>
      </c>
      <c r="B400" s="65">
        <v>-3</v>
      </c>
      <c r="C400" t="s">
        <v>283</v>
      </c>
      <c r="D400" t="s">
        <v>437</v>
      </c>
    </row>
    <row r="401" spans="1:4">
      <c r="A401" s="4">
        <v>45967</v>
      </c>
      <c r="B401" s="65">
        <v>-15.3</v>
      </c>
      <c r="C401" t="s">
        <v>284</v>
      </c>
      <c r="D401" t="s">
        <v>410</v>
      </c>
    </row>
    <row r="402" spans="1:4">
      <c r="A402" s="4">
        <v>45968</v>
      </c>
      <c r="B402" s="65">
        <v>-3</v>
      </c>
      <c r="C402" t="s">
        <v>283</v>
      </c>
      <c r="D402" t="s">
        <v>437</v>
      </c>
    </row>
    <row r="403" spans="1:4">
      <c r="A403" s="4">
        <v>45968</v>
      </c>
      <c r="B403" s="65">
        <v>-17.3</v>
      </c>
      <c r="C403" t="s">
        <v>283</v>
      </c>
      <c r="D403" t="s">
        <v>410</v>
      </c>
    </row>
    <row r="404" spans="1:4">
      <c r="A404" s="4">
        <v>45969</v>
      </c>
      <c r="B404" s="65">
        <v>-10.9</v>
      </c>
      <c r="C404" t="s">
        <v>285</v>
      </c>
      <c r="D404" t="s">
        <v>410</v>
      </c>
    </row>
    <row r="405" spans="1:4">
      <c r="A405" s="4">
        <v>45969</v>
      </c>
      <c r="B405" s="65">
        <v>-30</v>
      </c>
      <c r="C405" t="s">
        <v>283</v>
      </c>
      <c r="D405" t="s">
        <v>527</v>
      </c>
    </row>
    <row r="406" spans="1:4">
      <c r="A406" s="4">
        <v>45969</v>
      </c>
      <c r="B406" s="65">
        <v>-39</v>
      </c>
      <c r="C406" t="s">
        <v>225</v>
      </c>
      <c r="D406" t="s">
        <v>528</v>
      </c>
    </row>
    <row r="407" spans="1:4">
      <c r="A407" s="4">
        <v>45969</v>
      </c>
      <c r="B407" s="65">
        <v>-118</v>
      </c>
      <c r="C407" t="s">
        <v>283</v>
      </c>
      <c r="D407" t="s">
        <v>529</v>
      </c>
    </row>
    <row r="408" spans="1:4">
      <c r="A408" s="4">
        <v>45969</v>
      </c>
      <c r="B408" s="65">
        <v>-6</v>
      </c>
      <c r="C408" t="s">
        <v>283</v>
      </c>
      <c r="D408" t="s">
        <v>421</v>
      </c>
    </row>
    <row r="409" spans="1:4">
      <c r="A409" s="4">
        <v>45970</v>
      </c>
      <c r="B409" s="65">
        <v>-9.3800000000000008</v>
      </c>
      <c r="C409" t="s">
        <v>283</v>
      </c>
      <c r="D409" t="s">
        <v>410</v>
      </c>
    </row>
    <row r="410" spans="1:4">
      <c r="A410" s="4">
        <v>45970</v>
      </c>
      <c r="B410" s="65">
        <v>-17.8</v>
      </c>
      <c r="C410" t="s">
        <v>283</v>
      </c>
      <c r="D410" t="s">
        <v>410</v>
      </c>
    </row>
    <row r="411" spans="1:4">
      <c r="A411" s="4">
        <v>45971</v>
      </c>
      <c r="B411" s="65">
        <v>-3</v>
      </c>
      <c r="C411" t="s">
        <v>0</v>
      </c>
      <c r="D411" t="s">
        <v>530</v>
      </c>
    </row>
    <row r="412" spans="1:4">
      <c r="A412" s="4">
        <v>45971</v>
      </c>
      <c r="B412" s="65">
        <v>-16.3</v>
      </c>
      <c r="C412" t="s">
        <v>0</v>
      </c>
      <c r="D412" t="s">
        <v>410</v>
      </c>
    </row>
    <row r="413" spans="1:4">
      <c r="A413" s="4">
        <v>45971</v>
      </c>
      <c r="B413" s="65">
        <v>-31.4</v>
      </c>
      <c r="C413" t="s">
        <v>0</v>
      </c>
      <c r="D413" t="s">
        <v>531</v>
      </c>
    </row>
    <row r="414" spans="1:4">
      <c r="A414" s="4">
        <v>45972</v>
      </c>
      <c r="B414" s="65">
        <v>-1.5</v>
      </c>
      <c r="C414" t="s">
        <v>0</v>
      </c>
      <c r="D414" t="s">
        <v>368</v>
      </c>
    </row>
    <row r="415" spans="1:4">
      <c r="A415" s="4">
        <v>45972</v>
      </c>
      <c r="B415" s="65">
        <v>-2</v>
      </c>
      <c r="C415" t="s">
        <v>0</v>
      </c>
      <c r="D415" t="s">
        <v>530</v>
      </c>
    </row>
    <row r="416" spans="1:4">
      <c r="A416" s="4">
        <v>45973</v>
      </c>
      <c r="B416" s="65">
        <v>-3</v>
      </c>
      <c r="C416" t="s">
        <v>0</v>
      </c>
      <c r="D416" t="s">
        <v>530</v>
      </c>
    </row>
    <row r="417" spans="1:4">
      <c r="A417" s="4">
        <v>45973</v>
      </c>
      <c r="B417" s="65">
        <v>-15.3</v>
      </c>
      <c r="C417" t="s">
        <v>0</v>
      </c>
      <c r="D417" t="s">
        <v>410</v>
      </c>
    </row>
    <row r="418" spans="1:4">
      <c r="A418" s="4">
        <v>45973</v>
      </c>
      <c r="B418" s="65">
        <v>-24.3</v>
      </c>
      <c r="C418" t="s">
        <v>0</v>
      </c>
      <c r="D418" t="s">
        <v>410</v>
      </c>
    </row>
    <row r="419" spans="1:4">
      <c r="A419" s="4">
        <v>45974</v>
      </c>
      <c r="B419" s="62">
        <v>-10.9</v>
      </c>
      <c r="C419" t="s">
        <v>0</v>
      </c>
      <c r="D419" t="s">
        <v>410</v>
      </c>
    </row>
    <row r="420" spans="1:4">
      <c r="A420" s="4">
        <v>45974</v>
      </c>
      <c r="B420" s="65">
        <v>-1.5</v>
      </c>
      <c r="C420" t="s">
        <v>0</v>
      </c>
      <c r="D420" t="s">
        <v>530</v>
      </c>
    </row>
    <row r="421" spans="1:4">
      <c r="A421" s="4">
        <v>45974</v>
      </c>
      <c r="B421" s="62">
        <v>-1.5</v>
      </c>
      <c r="C421" t="s">
        <v>0</v>
      </c>
      <c r="D421" t="s">
        <v>530</v>
      </c>
    </row>
    <row r="422" spans="1:4">
      <c r="A422" s="4">
        <v>45974</v>
      </c>
      <c r="B422" s="62">
        <v>-12.16</v>
      </c>
      <c r="C422" t="s">
        <v>1</v>
      </c>
      <c r="D422" t="s">
        <v>532</v>
      </c>
    </row>
    <row r="423" spans="1:4">
      <c r="A423" s="4">
        <v>45974</v>
      </c>
      <c r="B423" s="62">
        <v>-100</v>
      </c>
      <c r="C423" t="s">
        <v>1</v>
      </c>
      <c r="D423" t="s">
        <v>388</v>
      </c>
    </row>
    <row r="424" spans="1:4">
      <c r="A424" s="4">
        <v>45975</v>
      </c>
      <c r="B424" s="62">
        <v>-3</v>
      </c>
      <c r="C424" t="s">
        <v>0</v>
      </c>
      <c r="D424" t="s">
        <v>530</v>
      </c>
    </row>
    <row r="425" spans="1:4">
      <c r="A425" s="4">
        <v>45975</v>
      </c>
      <c r="B425" s="62">
        <v>-12.29</v>
      </c>
      <c r="C425" t="s">
        <v>0</v>
      </c>
      <c r="D425" t="s">
        <v>410</v>
      </c>
    </row>
    <row r="426" spans="1:4">
      <c r="A426" s="4">
        <v>45976</v>
      </c>
      <c r="B426" s="62">
        <v>-10.9</v>
      </c>
      <c r="C426" t="s">
        <v>0</v>
      </c>
      <c r="D426" t="s">
        <v>410</v>
      </c>
    </row>
    <row r="427" spans="1:4">
      <c r="A427" s="4">
        <v>45976</v>
      </c>
      <c r="B427" s="62">
        <v>-97</v>
      </c>
      <c r="C427" t="s">
        <v>0</v>
      </c>
      <c r="D427" t="s">
        <v>533</v>
      </c>
    </row>
    <row r="428" spans="1:4">
      <c r="A428" s="4">
        <v>45976</v>
      </c>
      <c r="B428" s="65">
        <v>-134.4</v>
      </c>
      <c r="C428" t="s">
        <v>1</v>
      </c>
      <c r="D428" t="s">
        <v>534</v>
      </c>
    </row>
    <row r="429" spans="1:4">
      <c r="A429" s="4">
        <v>45976</v>
      </c>
      <c r="B429" s="62">
        <v>-18.3</v>
      </c>
      <c r="C429" t="s">
        <v>1</v>
      </c>
      <c r="D429" t="s">
        <v>535</v>
      </c>
    </row>
    <row r="430" spans="1:4">
      <c r="A430" s="4">
        <v>45977</v>
      </c>
      <c r="B430" s="62">
        <v>-15</v>
      </c>
      <c r="C430" t="s">
        <v>0</v>
      </c>
      <c r="D430" t="s">
        <v>536</v>
      </c>
    </row>
    <row r="431" spans="1:4">
      <c r="A431" s="4">
        <v>45977</v>
      </c>
      <c r="B431" s="62">
        <v>-15</v>
      </c>
      <c r="C431" t="s">
        <v>0</v>
      </c>
      <c r="D431" t="s">
        <v>537</v>
      </c>
    </row>
    <row r="432" spans="1:4">
      <c r="A432" s="4">
        <v>45977</v>
      </c>
      <c r="B432" s="62">
        <v>-10.9</v>
      </c>
      <c r="C432" t="s">
        <v>0</v>
      </c>
      <c r="D432" t="s">
        <v>410</v>
      </c>
    </row>
    <row r="433" spans="1:4">
      <c r="A433" s="4">
        <v>45977</v>
      </c>
      <c r="B433" s="62">
        <v>-17.8</v>
      </c>
      <c r="C433" t="s">
        <v>205</v>
      </c>
      <c r="D433" t="s">
        <v>538</v>
      </c>
    </row>
    <row r="434" spans="1:4">
      <c r="A434" s="4">
        <v>45977</v>
      </c>
      <c r="B434" s="62">
        <v>-3</v>
      </c>
      <c r="C434" t="s">
        <v>1</v>
      </c>
      <c r="D434" t="s">
        <v>526</v>
      </c>
    </row>
    <row r="435" spans="1:4">
      <c r="A435" s="4">
        <v>45978</v>
      </c>
      <c r="B435" s="62">
        <v>-3</v>
      </c>
      <c r="C435" t="s">
        <v>1</v>
      </c>
      <c r="D435" t="s">
        <v>530</v>
      </c>
    </row>
    <row r="436" spans="1:4">
      <c r="A436" s="4">
        <v>45978</v>
      </c>
      <c r="B436" s="62">
        <v>-3.99</v>
      </c>
      <c r="C436" t="s">
        <v>1</v>
      </c>
      <c r="D436" t="s">
        <v>368</v>
      </c>
    </row>
    <row r="437" spans="1:4">
      <c r="A437" s="4">
        <v>45978</v>
      </c>
      <c r="B437" s="62">
        <v>-10.9</v>
      </c>
      <c r="C437" t="s">
        <v>0</v>
      </c>
      <c r="D437" t="s">
        <v>410</v>
      </c>
    </row>
    <row r="438" spans="1:4">
      <c r="A438" s="4">
        <v>45979</v>
      </c>
      <c r="B438" s="62">
        <v>-0.99</v>
      </c>
      <c r="C438" t="s">
        <v>1</v>
      </c>
      <c r="D438" t="s">
        <v>368</v>
      </c>
    </row>
    <row r="439" spans="1:4">
      <c r="A439" s="4">
        <v>45979</v>
      </c>
      <c r="B439" s="62">
        <v>-0.99</v>
      </c>
      <c r="C439" t="s">
        <v>1</v>
      </c>
      <c r="D439" t="s">
        <v>368</v>
      </c>
    </row>
    <row r="440" spans="1:4">
      <c r="A440" s="4">
        <v>45979</v>
      </c>
      <c r="B440" s="62">
        <v>-0.99</v>
      </c>
      <c r="C440" t="s">
        <v>1</v>
      </c>
      <c r="D440" t="s">
        <v>368</v>
      </c>
    </row>
    <row r="441" spans="1:4">
      <c r="A441" s="4">
        <v>45979</v>
      </c>
      <c r="B441" s="62">
        <v>-4</v>
      </c>
      <c r="C441" t="s">
        <v>0</v>
      </c>
      <c r="D441" t="s">
        <v>530</v>
      </c>
    </row>
    <row r="442" spans="1:4">
      <c r="A442" s="4">
        <v>45979</v>
      </c>
      <c r="B442" s="62">
        <v>-15.3</v>
      </c>
      <c r="C442" t="s">
        <v>0</v>
      </c>
      <c r="D442" t="s">
        <v>410</v>
      </c>
    </row>
    <row r="443" spans="1:4">
      <c r="A443" s="4">
        <v>45979</v>
      </c>
      <c r="B443" s="62">
        <v>-39.9</v>
      </c>
      <c r="C443" t="s">
        <v>0</v>
      </c>
      <c r="D443" t="s">
        <v>539</v>
      </c>
    </row>
    <row r="444" spans="1:4">
      <c r="A444" s="4">
        <v>45980</v>
      </c>
      <c r="B444" s="62">
        <v>-0.99</v>
      </c>
      <c r="C444" t="s">
        <v>1</v>
      </c>
      <c r="D444" t="s">
        <v>368</v>
      </c>
    </row>
    <row r="445" spans="1:4">
      <c r="A445" s="4">
        <v>45980</v>
      </c>
      <c r="B445" s="62">
        <v>-1.5</v>
      </c>
      <c r="C445" t="s">
        <v>0</v>
      </c>
      <c r="D445" t="s">
        <v>368</v>
      </c>
    </row>
    <row r="446" spans="1:4">
      <c r="A446" s="4">
        <v>45980</v>
      </c>
      <c r="B446" s="62">
        <v>-1</v>
      </c>
      <c r="C446" t="s">
        <v>0</v>
      </c>
      <c r="D446" t="s">
        <v>530</v>
      </c>
    </row>
    <row r="447" spans="1:4">
      <c r="A447" s="4">
        <v>45980</v>
      </c>
      <c r="B447" s="62">
        <v>-15.3</v>
      </c>
      <c r="C447" t="s">
        <v>0</v>
      </c>
      <c r="D447" t="s">
        <v>410</v>
      </c>
    </row>
    <row r="448" spans="1:4">
      <c r="A448" s="4">
        <v>45980</v>
      </c>
      <c r="B448" s="62">
        <v>-11.3</v>
      </c>
      <c r="C448" t="s">
        <v>0</v>
      </c>
      <c r="D448" t="s">
        <v>540</v>
      </c>
    </row>
    <row r="449" spans="1:4">
      <c r="A449" s="4">
        <v>45981</v>
      </c>
      <c r="B449" s="62">
        <v>-0.99</v>
      </c>
      <c r="C449" t="s">
        <v>1</v>
      </c>
      <c r="D449" t="s">
        <v>368</v>
      </c>
    </row>
    <row r="450" spans="1:4">
      <c r="A450" s="4">
        <v>45981</v>
      </c>
      <c r="B450" s="62">
        <v>-0.99</v>
      </c>
      <c r="C450" t="s">
        <v>1</v>
      </c>
      <c r="D450" t="s">
        <v>368</v>
      </c>
    </row>
    <row r="451" spans="1:4">
      <c r="A451" s="4">
        <v>45981</v>
      </c>
      <c r="B451" s="62">
        <v>-21.7</v>
      </c>
      <c r="C451" t="s">
        <v>1</v>
      </c>
      <c r="D451" t="s">
        <v>526</v>
      </c>
    </row>
    <row r="452" spans="1:4">
      <c r="A452" s="4">
        <v>45981</v>
      </c>
      <c r="B452" s="62">
        <v>-3</v>
      </c>
      <c r="C452" t="s">
        <v>0</v>
      </c>
      <c r="D452" t="s">
        <v>530</v>
      </c>
    </row>
    <row r="453" spans="1:4">
      <c r="A453" s="4">
        <v>45981</v>
      </c>
      <c r="B453" s="62">
        <v>-16.899999999999999</v>
      </c>
      <c r="C453" t="s">
        <v>0</v>
      </c>
      <c r="D453" t="s">
        <v>410</v>
      </c>
    </row>
    <row r="454" spans="1:4">
      <c r="A454" s="4">
        <v>45982</v>
      </c>
      <c r="B454" s="62">
        <v>-15.3</v>
      </c>
      <c r="C454" t="s">
        <v>0</v>
      </c>
      <c r="D454" t="s">
        <v>410</v>
      </c>
    </row>
    <row r="455" spans="1:4">
      <c r="A455" s="4">
        <v>45982</v>
      </c>
      <c r="B455" s="62">
        <v>-1</v>
      </c>
      <c r="C455" t="s">
        <v>0</v>
      </c>
      <c r="D455" t="s">
        <v>530</v>
      </c>
    </row>
    <row r="456" spans="1:4">
      <c r="A456" s="4">
        <v>45982</v>
      </c>
      <c r="B456" s="62">
        <v>-0.99</v>
      </c>
      <c r="C456" t="s">
        <v>1</v>
      </c>
      <c r="D456" t="s">
        <v>368</v>
      </c>
    </row>
    <row r="457" spans="1:4">
      <c r="A457" s="4">
        <v>45982</v>
      </c>
      <c r="B457" s="62">
        <v>-0.99</v>
      </c>
      <c r="C457" t="s">
        <v>1</v>
      </c>
      <c r="D457" t="s">
        <v>368</v>
      </c>
    </row>
    <row r="458" spans="1:4">
      <c r="A458" s="4">
        <v>45983</v>
      </c>
      <c r="B458" s="62">
        <v>-10.9</v>
      </c>
      <c r="C458" t="s">
        <v>0</v>
      </c>
      <c r="D458" t="s">
        <v>410</v>
      </c>
    </row>
    <row r="459" spans="1:4">
      <c r="A459" s="4">
        <v>45984</v>
      </c>
      <c r="B459" s="62">
        <v>-0.99</v>
      </c>
      <c r="C459" t="s">
        <v>1</v>
      </c>
      <c r="D459" t="s">
        <v>368</v>
      </c>
    </row>
    <row r="460" spans="1:4">
      <c r="A460" s="4">
        <v>45984</v>
      </c>
      <c r="B460" s="62">
        <v>-3.86</v>
      </c>
      <c r="C460" t="s">
        <v>0</v>
      </c>
      <c r="D460" t="s">
        <v>541</v>
      </c>
    </row>
    <row r="461" spans="1:4">
      <c r="A461" s="4">
        <v>45984</v>
      </c>
      <c r="B461" s="62">
        <v>-27</v>
      </c>
      <c r="C461" t="s">
        <v>288</v>
      </c>
      <c r="D461" t="s">
        <v>542</v>
      </c>
    </row>
    <row r="462" spans="1:4">
      <c r="A462" s="4">
        <v>45984</v>
      </c>
      <c r="B462" s="62">
        <v>-9.59</v>
      </c>
      <c r="C462" t="s">
        <v>277</v>
      </c>
      <c r="D462" t="s">
        <v>543</v>
      </c>
    </row>
    <row r="463" spans="1:4">
      <c r="A463" s="4">
        <v>45985</v>
      </c>
      <c r="B463" s="62">
        <v>-850</v>
      </c>
      <c r="C463" t="s">
        <v>288</v>
      </c>
      <c r="D463" t="s">
        <v>544</v>
      </c>
    </row>
    <row r="464" spans="1:4">
      <c r="A464" s="4">
        <v>45985</v>
      </c>
      <c r="B464" s="62">
        <v>-15.3</v>
      </c>
      <c r="C464" t="s">
        <v>288</v>
      </c>
      <c r="D464" t="s">
        <v>410</v>
      </c>
    </row>
    <row r="465" spans="1:4">
      <c r="A465" s="4">
        <v>45985</v>
      </c>
      <c r="B465" s="62">
        <v>-0.99</v>
      </c>
      <c r="C465" t="s">
        <v>1</v>
      </c>
      <c r="D465" t="s">
        <v>368</v>
      </c>
    </row>
    <row r="466" spans="1:4">
      <c r="A466" s="4">
        <v>45986</v>
      </c>
      <c r="B466" s="62">
        <v>-1</v>
      </c>
      <c r="C466" t="s">
        <v>289</v>
      </c>
      <c r="D466" t="s">
        <v>437</v>
      </c>
    </row>
    <row r="467" spans="1:4">
      <c r="A467" s="4">
        <v>45986</v>
      </c>
      <c r="B467" s="62">
        <v>-15.3</v>
      </c>
      <c r="C467" t="s">
        <v>290</v>
      </c>
      <c r="D467" t="s">
        <v>410</v>
      </c>
    </row>
    <row r="468" spans="1:4">
      <c r="A468" s="4">
        <v>45986</v>
      </c>
      <c r="B468" s="62">
        <v>-1.5</v>
      </c>
      <c r="C468" t="s">
        <v>291</v>
      </c>
      <c r="D468" t="s">
        <v>368</v>
      </c>
    </row>
    <row r="469" spans="1:4">
      <c r="A469" s="4">
        <v>45986</v>
      </c>
      <c r="B469" s="62">
        <v>-0.99</v>
      </c>
      <c r="C469" t="s">
        <v>1</v>
      </c>
      <c r="D469" t="s">
        <v>368</v>
      </c>
    </row>
    <row r="470" spans="1:4">
      <c r="A470" s="4">
        <v>45986</v>
      </c>
      <c r="B470" s="62">
        <v>-0.99</v>
      </c>
      <c r="C470" t="s">
        <v>1</v>
      </c>
      <c r="D470" t="s">
        <v>368</v>
      </c>
    </row>
    <row r="471" spans="1:4">
      <c r="A471" s="4">
        <v>45987</v>
      </c>
      <c r="B471" s="62">
        <v>-1</v>
      </c>
      <c r="C471" t="s">
        <v>288</v>
      </c>
      <c r="D471" t="s">
        <v>437</v>
      </c>
    </row>
    <row r="472" spans="1:4">
      <c r="A472" s="4">
        <v>45987</v>
      </c>
      <c r="B472" s="62">
        <v>-15.3</v>
      </c>
      <c r="C472" t="s">
        <v>288</v>
      </c>
      <c r="D472" t="s">
        <v>410</v>
      </c>
    </row>
    <row r="473" spans="1:4">
      <c r="A473" s="4">
        <v>45987</v>
      </c>
      <c r="B473" s="62">
        <v>-1.5</v>
      </c>
      <c r="C473" t="s">
        <v>292</v>
      </c>
      <c r="D473" t="s">
        <v>368</v>
      </c>
    </row>
    <row r="474" spans="1:4">
      <c r="A474" s="4">
        <v>45987</v>
      </c>
      <c r="B474" s="62">
        <v>-0.99</v>
      </c>
      <c r="C474" t="s">
        <v>1</v>
      </c>
      <c r="D474" t="s">
        <v>368</v>
      </c>
    </row>
    <row r="475" spans="1:4">
      <c r="A475" s="4">
        <v>45987</v>
      </c>
      <c r="B475" s="62">
        <v>-100</v>
      </c>
      <c r="C475" t="s">
        <v>1</v>
      </c>
      <c r="D475" t="s">
        <v>388</v>
      </c>
    </row>
    <row r="476" spans="1:4">
      <c r="A476" s="4">
        <v>45988</v>
      </c>
      <c r="B476" s="62">
        <v>-1.0900000000000001</v>
      </c>
      <c r="C476" t="s">
        <v>293</v>
      </c>
      <c r="D476" t="s">
        <v>368</v>
      </c>
    </row>
    <row r="477" spans="1:4">
      <c r="A477" s="4">
        <v>45988</v>
      </c>
      <c r="B477" s="62">
        <v>-1</v>
      </c>
      <c r="C477" t="s">
        <v>294</v>
      </c>
      <c r="D477" t="s">
        <v>530</v>
      </c>
    </row>
    <row r="478" spans="1:4">
      <c r="A478" s="4">
        <v>45988</v>
      </c>
      <c r="B478" s="62">
        <v>-4250</v>
      </c>
      <c r="C478" t="s">
        <v>288</v>
      </c>
      <c r="D478" t="s">
        <v>545</v>
      </c>
    </row>
    <row r="479" spans="1:4">
      <c r="A479" s="4">
        <v>45988</v>
      </c>
      <c r="B479" s="62">
        <v>-50</v>
      </c>
      <c r="C479" t="s">
        <v>288</v>
      </c>
      <c r="D479" t="s">
        <v>546</v>
      </c>
    </row>
    <row r="480" spans="1:4">
      <c r="A480" s="4">
        <v>45988</v>
      </c>
      <c r="B480" s="62">
        <v>-15.8</v>
      </c>
      <c r="C480" t="s">
        <v>295</v>
      </c>
      <c r="D480" t="s">
        <v>410</v>
      </c>
    </row>
    <row r="481" spans="1:4">
      <c r="A481" s="4">
        <v>45988</v>
      </c>
      <c r="B481" s="62">
        <v>-0.99</v>
      </c>
      <c r="C481" t="s">
        <v>288</v>
      </c>
      <c r="D481" t="s">
        <v>368</v>
      </c>
    </row>
    <row r="482" spans="1:4">
      <c r="A482" s="4">
        <v>45988</v>
      </c>
      <c r="B482" s="62">
        <v>-850</v>
      </c>
      <c r="C482" t="s">
        <v>1</v>
      </c>
      <c r="D482" t="s">
        <v>547</v>
      </c>
    </row>
    <row r="483" spans="1:4">
      <c r="A483" s="4">
        <v>45989</v>
      </c>
      <c r="B483" s="62">
        <v>-35.880000000000003</v>
      </c>
      <c r="C483" t="s">
        <v>206</v>
      </c>
      <c r="D483" t="s">
        <v>548</v>
      </c>
    </row>
    <row r="484" spans="1:4">
      <c r="A484" s="4">
        <v>45989</v>
      </c>
      <c r="B484" s="62">
        <v>-11.57</v>
      </c>
      <c r="C484" t="s">
        <v>296</v>
      </c>
      <c r="D484" t="s">
        <v>549</v>
      </c>
    </row>
    <row r="485" spans="1:4">
      <c r="A485" s="4">
        <v>45989</v>
      </c>
      <c r="B485" s="62">
        <v>-0.99</v>
      </c>
      <c r="C485" t="s">
        <v>293</v>
      </c>
      <c r="D485" t="s">
        <v>368</v>
      </c>
    </row>
    <row r="486" spans="1:4">
      <c r="A486" s="4">
        <v>45989</v>
      </c>
      <c r="B486" s="62">
        <v>-1</v>
      </c>
      <c r="C486" t="s">
        <v>288</v>
      </c>
      <c r="D486" t="s">
        <v>530</v>
      </c>
    </row>
    <row r="487" spans="1:4">
      <c r="A487" s="4">
        <v>45989</v>
      </c>
      <c r="B487" s="62">
        <v>-15.3</v>
      </c>
      <c r="C487" t="s">
        <v>288</v>
      </c>
      <c r="D487" t="s">
        <v>410</v>
      </c>
    </row>
    <row r="488" spans="1:4">
      <c r="A488" s="4">
        <v>45989</v>
      </c>
      <c r="B488" s="62">
        <v>-0.99</v>
      </c>
      <c r="C488" t="s">
        <v>297</v>
      </c>
      <c r="D488" t="s">
        <v>368</v>
      </c>
    </row>
    <row r="489" spans="1:4">
      <c r="A489" s="4">
        <v>45989</v>
      </c>
      <c r="B489" s="62">
        <v>-148.55000000000001</v>
      </c>
      <c r="C489" t="s">
        <v>1</v>
      </c>
      <c r="D489" t="s">
        <v>550</v>
      </c>
    </row>
    <row r="490" spans="1:4">
      <c r="A490" s="4">
        <v>45990</v>
      </c>
      <c r="B490" s="62">
        <v>-0.99</v>
      </c>
      <c r="C490" t="s">
        <v>1</v>
      </c>
      <c r="D490" t="s">
        <v>368</v>
      </c>
    </row>
    <row r="491" spans="1:4">
      <c r="A491" s="4">
        <v>45990</v>
      </c>
      <c r="B491" s="62">
        <v>-39</v>
      </c>
      <c r="C491" t="s">
        <v>1</v>
      </c>
      <c r="D491" t="s">
        <v>551</v>
      </c>
    </row>
    <row r="492" spans="1:4">
      <c r="A492" s="4">
        <v>45990</v>
      </c>
      <c r="B492" s="62">
        <v>-2.5099999999999998</v>
      </c>
      <c r="C492" t="s">
        <v>304</v>
      </c>
      <c r="D492" t="s">
        <v>552</v>
      </c>
    </row>
    <row r="493" spans="1:4">
      <c r="A493" s="4">
        <v>45990</v>
      </c>
      <c r="B493" s="62">
        <v>-0.99</v>
      </c>
      <c r="C493" t="s">
        <v>304</v>
      </c>
      <c r="D493" t="s">
        <v>368</v>
      </c>
    </row>
    <row r="494" spans="1:4">
      <c r="A494" s="4">
        <v>45990</v>
      </c>
      <c r="B494" s="62">
        <v>-10.9</v>
      </c>
      <c r="C494" t="s">
        <v>307</v>
      </c>
      <c r="D494" t="s">
        <v>199</v>
      </c>
    </row>
    <row r="495" spans="1:4">
      <c r="A495" s="4">
        <v>45990</v>
      </c>
      <c r="B495" s="62">
        <v>-0.99</v>
      </c>
      <c r="C495" t="s">
        <v>308</v>
      </c>
      <c r="D495" t="s">
        <v>368</v>
      </c>
    </row>
    <row r="496" spans="1:4">
      <c r="A496" s="4">
        <v>45990</v>
      </c>
      <c r="B496" s="62">
        <v>-28</v>
      </c>
      <c r="C496" t="s">
        <v>307</v>
      </c>
      <c r="D496" t="s">
        <v>526</v>
      </c>
    </row>
    <row r="497" spans="1:4">
      <c r="A497" s="4">
        <v>45990</v>
      </c>
      <c r="B497" s="62">
        <v>-10.5</v>
      </c>
      <c r="C497" t="s">
        <v>309</v>
      </c>
      <c r="D497" t="s">
        <v>553</v>
      </c>
    </row>
    <row r="498" spans="1:4">
      <c r="A498" s="4">
        <v>45990</v>
      </c>
      <c r="B498" s="62">
        <v>-28.3</v>
      </c>
      <c r="C498" t="s">
        <v>307</v>
      </c>
      <c r="D498" t="s">
        <v>554</v>
      </c>
    </row>
    <row r="499" spans="1:4">
      <c r="A499" s="4">
        <v>45990</v>
      </c>
      <c r="B499" s="62">
        <v>-27.86</v>
      </c>
      <c r="C499" t="s">
        <v>307</v>
      </c>
      <c r="D499" t="s">
        <v>555</v>
      </c>
    </row>
    <row r="500" spans="1:4">
      <c r="A500" s="4">
        <v>45991</v>
      </c>
      <c r="B500" s="62">
        <v>-29.8</v>
      </c>
      <c r="C500" t="s">
        <v>310</v>
      </c>
      <c r="D500" t="s">
        <v>410</v>
      </c>
    </row>
    <row r="501" spans="1:4">
      <c r="A501" s="4">
        <v>45991</v>
      </c>
      <c r="B501" s="62">
        <v>-15.9</v>
      </c>
      <c r="C501" t="s">
        <v>307</v>
      </c>
      <c r="D501" t="s">
        <v>410</v>
      </c>
    </row>
    <row r="502" spans="1:4">
      <c r="A502" s="4">
        <v>45991</v>
      </c>
      <c r="B502" s="62">
        <v>-12.8</v>
      </c>
      <c r="C502" t="s">
        <v>307</v>
      </c>
      <c r="D502" t="s">
        <v>410</v>
      </c>
    </row>
    <row r="503" spans="1:4">
      <c r="A503" s="4">
        <v>45991</v>
      </c>
      <c r="B503" s="62">
        <v>-131.43</v>
      </c>
      <c r="C503" t="s">
        <v>308</v>
      </c>
      <c r="D503" t="s">
        <v>556</v>
      </c>
    </row>
    <row r="504" spans="1:4">
      <c r="A504" s="4">
        <v>45992</v>
      </c>
      <c r="B504" s="62">
        <v>-31.4</v>
      </c>
      <c r="C504" t="s">
        <v>304</v>
      </c>
      <c r="D504" t="s">
        <v>557</v>
      </c>
    </row>
    <row r="505" spans="1:4">
      <c r="A505" s="4">
        <v>45992</v>
      </c>
      <c r="B505" s="62">
        <v>-2.89</v>
      </c>
      <c r="C505" t="s">
        <v>304</v>
      </c>
      <c r="D505" t="s">
        <v>558</v>
      </c>
    </row>
    <row r="506" spans="1:4">
      <c r="A506" s="4">
        <v>45992</v>
      </c>
      <c r="B506" s="62">
        <v>-0.99</v>
      </c>
      <c r="C506" t="s">
        <v>304</v>
      </c>
      <c r="D506" t="s">
        <v>368</v>
      </c>
    </row>
    <row r="507" spans="1:4">
      <c r="A507" s="4">
        <v>45992</v>
      </c>
      <c r="B507" s="62">
        <v>-9.7100000000000009</v>
      </c>
      <c r="C507" t="s">
        <v>305</v>
      </c>
      <c r="D507" t="s">
        <v>559</v>
      </c>
    </row>
    <row r="508" spans="1:4">
      <c r="A508" s="4">
        <v>45992</v>
      </c>
      <c r="B508" s="62">
        <v>-17.86</v>
      </c>
      <c r="C508" t="s">
        <v>311</v>
      </c>
      <c r="D508" t="s">
        <v>560</v>
      </c>
    </row>
    <row r="509" spans="1:4">
      <c r="A509" s="4">
        <v>45992</v>
      </c>
      <c r="B509" s="62">
        <v>-2.1</v>
      </c>
      <c r="C509" t="s">
        <v>307</v>
      </c>
      <c r="D509" t="s">
        <v>368</v>
      </c>
    </row>
    <row r="510" spans="1:4">
      <c r="A510" s="4">
        <v>45992</v>
      </c>
      <c r="B510" s="62">
        <v>-0.8</v>
      </c>
      <c r="C510" t="s">
        <v>307</v>
      </c>
      <c r="D510" t="s">
        <v>368</v>
      </c>
    </row>
    <row r="511" spans="1:4">
      <c r="A511" s="4">
        <v>45992</v>
      </c>
      <c r="B511" s="62">
        <v>-1</v>
      </c>
      <c r="C511" t="s">
        <v>307</v>
      </c>
      <c r="D511" t="s">
        <v>530</v>
      </c>
    </row>
    <row r="512" spans="1:4">
      <c r="A512" s="4">
        <v>45992</v>
      </c>
      <c r="B512" s="62">
        <v>-17</v>
      </c>
      <c r="C512" t="s">
        <v>307</v>
      </c>
      <c r="D512" t="s">
        <v>410</v>
      </c>
    </row>
    <row r="513" spans="1:4">
      <c r="A513" s="4">
        <v>45992</v>
      </c>
      <c r="B513" s="62">
        <v>-500</v>
      </c>
      <c r="C513" t="s">
        <v>307</v>
      </c>
      <c r="D513" t="s">
        <v>561</v>
      </c>
    </row>
    <row r="514" spans="1:4">
      <c r="A514" s="4">
        <v>45993</v>
      </c>
      <c r="B514" s="62">
        <v>-6.9</v>
      </c>
      <c r="C514" t="s">
        <v>304</v>
      </c>
      <c r="D514" t="s">
        <v>368</v>
      </c>
    </row>
    <row r="515" spans="1:4">
      <c r="A515" s="4">
        <v>45993</v>
      </c>
      <c r="B515" s="62">
        <v>-0.6</v>
      </c>
      <c r="C515" t="s">
        <v>304</v>
      </c>
      <c r="D515" t="s">
        <v>368</v>
      </c>
    </row>
    <row r="516" spans="1:4">
      <c r="A516" s="4">
        <v>45993</v>
      </c>
      <c r="B516" s="62">
        <v>-0.6</v>
      </c>
      <c r="C516" t="s">
        <v>304</v>
      </c>
      <c r="D516" t="s">
        <v>368</v>
      </c>
    </row>
    <row r="517" spans="1:4">
      <c r="A517" s="4">
        <v>45993</v>
      </c>
      <c r="B517" s="62">
        <v>-17.5</v>
      </c>
      <c r="C517" t="s">
        <v>306</v>
      </c>
      <c r="D517" t="s">
        <v>526</v>
      </c>
    </row>
    <row r="518" spans="1:4">
      <c r="A518" s="4">
        <v>45993</v>
      </c>
      <c r="B518" s="62">
        <v>-3</v>
      </c>
      <c r="C518" t="s">
        <v>311</v>
      </c>
      <c r="D518" t="s">
        <v>530</v>
      </c>
    </row>
    <row r="519" spans="1:4">
      <c r="A519" s="4">
        <v>45993</v>
      </c>
      <c r="B519" s="62">
        <v>-423.85</v>
      </c>
      <c r="C519" t="s">
        <v>308</v>
      </c>
      <c r="D519" t="s">
        <v>562</v>
      </c>
    </row>
    <row r="520" spans="1:4">
      <c r="A520" s="4">
        <v>45994</v>
      </c>
      <c r="B520" s="62">
        <v>-0.6</v>
      </c>
      <c r="C520" t="s">
        <v>313</v>
      </c>
      <c r="D520" t="s">
        <v>368</v>
      </c>
    </row>
    <row r="521" spans="1:4">
      <c r="A521" s="4">
        <v>45994</v>
      </c>
      <c r="B521" s="62">
        <v>-1.8</v>
      </c>
      <c r="C521" t="s">
        <v>315</v>
      </c>
      <c r="D521" t="s">
        <v>368</v>
      </c>
    </row>
    <row r="522" spans="1:4">
      <c r="A522" s="4">
        <v>45994</v>
      </c>
      <c r="B522" s="62">
        <v>-1</v>
      </c>
      <c r="C522" t="s">
        <v>316</v>
      </c>
      <c r="D522" t="s">
        <v>530</v>
      </c>
    </row>
    <row r="523" spans="1:4">
      <c r="A523" s="4">
        <v>45995</v>
      </c>
      <c r="B523" s="62">
        <v>-0.6</v>
      </c>
      <c r="C523" t="s">
        <v>314</v>
      </c>
      <c r="D523" t="s">
        <v>368</v>
      </c>
    </row>
    <row r="524" spans="1:4">
      <c r="A524" s="4">
        <v>45995</v>
      </c>
      <c r="B524" s="62">
        <v>-0.6</v>
      </c>
      <c r="C524" t="s">
        <v>314</v>
      </c>
      <c r="D524" t="s">
        <v>368</v>
      </c>
    </row>
    <row r="525" spans="1:4">
      <c r="A525" s="4">
        <v>45995</v>
      </c>
      <c r="B525" s="62">
        <v>-1</v>
      </c>
      <c r="C525" t="s">
        <v>316</v>
      </c>
      <c r="D525" t="s">
        <v>530</v>
      </c>
    </row>
    <row r="526" spans="1:4">
      <c r="A526" s="4">
        <v>45995</v>
      </c>
      <c r="B526" s="62">
        <v>-13</v>
      </c>
      <c r="C526" t="s">
        <v>317</v>
      </c>
      <c r="D526" t="s">
        <v>200</v>
      </c>
    </row>
    <row r="527" spans="1:4">
      <c r="A527" s="4">
        <v>45995</v>
      </c>
      <c r="B527" s="62">
        <v>-2.8</v>
      </c>
      <c r="C527" t="s">
        <v>318</v>
      </c>
      <c r="D527" t="s">
        <v>526</v>
      </c>
    </row>
    <row r="528" spans="1:4">
      <c r="A528" s="4">
        <v>45996</v>
      </c>
      <c r="B528" s="62">
        <v>-0.6</v>
      </c>
      <c r="C528" t="s">
        <v>314</v>
      </c>
      <c r="D528" t="s">
        <v>368</v>
      </c>
    </row>
    <row r="529" spans="1:4">
      <c r="A529" s="4">
        <v>45996</v>
      </c>
      <c r="B529" s="62">
        <v>-0.6</v>
      </c>
      <c r="C529" t="s">
        <v>314</v>
      </c>
      <c r="D529" t="s">
        <v>368</v>
      </c>
    </row>
    <row r="530" spans="1:4">
      <c r="A530" s="4">
        <v>45996</v>
      </c>
      <c r="B530" s="62">
        <v>-1</v>
      </c>
      <c r="C530" t="s">
        <v>316</v>
      </c>
      <c r="D530" t="s">
        <v>530</v>
      </c>
    </row>
    <row r="531" spans="1:4">
      <c r="A531" s="4">
        <v>45996</v>
      </c>
      <c r="B531" s="62">
        <v>-18.399999999999999</v>
      </c>
      <c r="C531" t="s">
        <v>319</v>
      </c>
      <c r="D531" t="s">
        <v>526</v>
      </c>
    </row>
    <row r="532" spans="1:4">
      <c r="A532" s="4">
        <v>45996</v>
      </c>
      <c r="B532" s="62">
        <v>-3.5</v>
      </c>
      <c r="C532" t="s">
        <v>316</v>
      </c>
      <c r="D532" t="s">
        <v>563</v>
      </c>
    </row>
    <row r="533" spans="1:4">
      <c r="A533" s="4">
        <v>45996</v>
      </c>
      <c r="B533" s="62">
        <v>-13</v>
      </c>
      <c r="C533" t="s">
        <v>316</v>
      </c>
      <c r="D533" t="s">
        <v>200</v>
      </c>
    </row>
    <row r="534" spans="1:4">
      <c r="A534" s="4">
        <v>45996</v>
      </c>
      <c r="B534" s="62">
        <v>-39.5</v>
      </c>
      <c r="C534" t="s">
        <v>319</v>
      </c>
      <c r="D534" t="s">
        <v>564</v>
      </c>
    </row>
    <row r="535" spans="1:4">
      <c r="A535" s="4">
        <v>45997</v>
      </c>
      <c r="B535" s="62">
        <v>-0.6</v>
      </c>
      <c r="C535" t="s">
        <v>320</v>
      </c>
      <c r="D535" t="s">
        <v>368</v>
      </c>
    </row>
    <row r="536" spans="1:4">
      <c r="A536" s="4">
        <v>45997</v>
      </c>
      <c r="B536" s="62">
        <v>-25.88</v>
      </c>
      <c r="C536" t="s">
        <v>321</v>
      </c>
      <c r="D536" t="s">
        <v>199</v>
      </c>
    </row>
    <row r="537" spans="1:4">
      <c r="A537" s="4">
        <v>45997</v>
      </c>
      <c r="B537" s="62">
        <v>-0.6</v>
      </c>
      <c r="C537" t="s">
        <v>321</v>
      </c>
      <c r="D537" t="s">
        <v>368</v>
      </c>
    </row>
    <row r="538" spans="1:4">
      <c r="A538" s="4">
        <v>45997</v>
      </c>
      <c r="B538" s="62">
        <v>-120.8</v>
      </c>
      <c r="C538" t="s">
        <v>324</v>
      </c>
      <c r="D538" t="s">
        <v>565</v>
      </c>
    </row>
    <row r="539" spans="1:4">
      <c r="A539" s="4">
        <v>45997</v>
      </c>
      <c r="B539" s="62">
        <v>-25.9</v>
      </c>
      <c r="C539" t="s">
        <v>325</v>
      </c>
      <c r="D539" t="s">
        <v>566</v>
      </c>
    </row>
    <row r="540" spans="1:4">
      <c r="A540" s="4">
        <v>45997</v>
      </c>
      <c r="B540" s="62">
        <v>-14.9</v>
      </c>
      <c r="C540" t="s">
        <v>326</v>
      </c>
      <c r="D540" t="s">
        <v>200</v>
      </c>
    </row>
    <row r="541" spans="1:4">
      <c r="A541" s="4">
        <v>45997</v>
      </c>
      <c r="B541" s="62">
        <v>-8.82</v>
      </c>
      <c r="C541" t="s">
        <v>328</v>
      </c>
      <c r="D541" t="s">
        <v>567</v>
      </c>
    </row>
    <row r="542" spans="1:4">
      <c r="A542" s="4">
        <v>45997</v>
      </c>
      <c r="B542" s="62">
        <v>-5551.21</v>
      </c>
      <c r="C542" t="s">
        <v>328</v>
      </c>
      <c r="D542" t="s">
        <v>568</v>
      </c>
    </row>
    <row r="543" spans="1:4">
      <c r="A543" s="4">
        <v>45997</v>
      </c>
      <c r="B543" s="62">
        <v>-33.86</v>
      </c>
      <c r="C543" t="s">
        <v>328</v>
      </c>
      <c r="D543" t="s">
        <v>569</v>
      </c>
    </row>
    <row r="544" spans="1:4">
      <c r="A544" s="4">
        <v>45997</v>
      </c>
      <c r="B544" s="62">
        <v>-75.56</v>
      </c>
      <c r="C544" t="s">
        <v>328</v>
      </c>
      <c r="D544" t="s">
        <v>556</v>
      </c>
    </row>
    <row r="545" spans="1:4">
      <c r="A545" s="4">
        <v>45998</v>
      </c>
      <c r="B545" s="62">
        <v>-100</v>
      </c>
      <c r="C545" t="s">
        <v>322</v>
      </c>
      <c r="D545" t="s">
        <v>570</v>
      </c>
    </row>
    <row r="546" spans="1:4">
      <c r="A546" s="4">
        <v>45998</v>
      </c>
      <c r="B546" s="62">
        <v>-73.13</v>
      </c>
      <c r="C546" t="s">
        <v>1</v>
      </c>
      <c r="D546" t="s">
        <v>526</v>
      </c>
    </row>
    <row r="547" spans="1:4">
      <c r="A547" s="4">
        <v>45998</v>
      </c>
      <c r="B547" s="62">
        <v>-13</v>
      </c>
      <c r="C547" t="s">
        <v>321</v>
      </c>
      <c r="D547" t="s">
        <v>200</v>
      </c>
    </row>
    <row r="548" spans="1:4">
      <c r="A548" s="4">
        <v>45998</v>
      </c>
      <c r="B548" s="62">
        <v>-10.9</v>
      </c>
      <c r="C548" t="s">
        <v>329</v>
      </c>
      <c r="D548" t="s">
        <v>199</v>
      </c>
    </row>
    <row r="549" spans="1:4">
      <c r="A549" s="4">
        <v>45999</v>
      </c>
      <c r="B549" s="62">
        <v>-0.6</v>
      </c>
      <c r="C549" t="s">
        <v>323</v>
      </c>
      <c r="D549" t="s">
        <v>368</v>
      </c>
    </row>
    <row r="550" spans="1:4">
      <c r="A550" s="4">
        <v>45999</v>
      </c>
      <c r="B550" s="62">
        <v>-13.19</v>
      </c>
      <c r="C550" t="s">
        <v>321</v>
      </c>
      <c r="D550" t="s">
        <v>571</v>
      </c>
    </row>
    <row r="551" spans="1:4">
      <c r="A551" s="4">
        <v>45999</v>
      </c>
      <c r="B551" s="62">
        <v>-0.8</v>
      </c>
      <c r="C551" t="s">
        <v>324</v>
      </c>
      <c r="D551" t="s">
        <v>368</v>
      </c>
    </row>
    <row r="552" spans="1:4">
      <c r="A552" s="4">
        <v>45999</v>
      </c>
      <c r="B552" s="62">
        <v>-3</v>
      </c>
      <c r="C552" t="s">
        <v>327</v>
      </c>
      <c r="D552" t="s">
        <v>530</v>
      </c>
    </row>
    <row r="553" spans="1:4">
      <c r="A553" s="4">
        <v>46000</v>
      </c>
      <c r="B553" s="62">
        <v>-11.3</v>
      </c>
      <c r="C553" t="s">
        <v>329</v>
      </c>
      <c r="D553" t="s">
        <v>200</v>
      </c>
    </row>
    <row r="554" spans="1:4">
      <c r="A554" s="4">
        <v>46000</v>
      </c>
      <c r="B554" s="62">
        <v>-0.6</v>
      </c>
      <c r="C554" t="s">
        <v>321</v>
      </c>
      <c r="D554" t="s">
        <v>368</v>
      </c>
    </row>
    <row r="555" spans="1:4">
      <c r="A555" s="4">
        <v>46000</v>
      </c>
      <c r="B555" s="62">
        <v>-0.6</v>
      </c>
      <c r="C555" t="s">
        <v>321</v>
      </c>
      <c r="D555" t="s">
        <v>368</v>
      </c>
    </row>
    <row r="556" spans="1:4">
      <c r="A556" s="4">
        <v>46000</v>
      </c>
      <c r="B556" s="62">
        <v>-1</v>
      </c>
      <c r="C556" t="s">
        <v>325</v>
      </c>
      <c r="D556" t="s">
        <v>530</v>
      </c>
    </row>
    <row r="557" spans="1:4">
      <c r="A557" s="4">
        <v>46001</v>
      </c>
      <c r="B557" s="62">
        <v>-0.6</v>
      </c>
      <c r="C557" t="s">
        <v>22</v>
      </c>
      <c r="D557" t="s">
        <v>368</v>
      </c>
    </row>
    <row r="558" spans="1:4">
      <c r="A558" s="4">
        <v>46001</v>
      </c>
      <c r="B558" s="62">
        <v>-0.5</v>
      </c>
      <c r="C558" t="s">
        <v>0</v>
      </c>
      <c r="D558" t="s">
        <v>368</v>
      </c>
    </row>
    <row r="559" spans="1:4">
      <c r="A559" s="4">
        <v>46001</v>
      </c>
      <c r="B559" s="62">
        <v>-1</v>
      </c>
      <c r="C559" t="s">
        <v>0</v>
      </c>
      <c r="D559" t="s">
        <v>530</v>
      </c>
    </row>
    <row r="560" spans="1:4">
      <c r="A560" s="4">
        <v>46001</v>
      </c>
      <c r="B560" s="62">
        <v>-100</v>
      </c>
      <c r="C560" t="s">
        <v>206</v>
      </c>
      <c r="D560" t="s">
        <v>436</v>
      </c>
    </row>
    <row r="561" spans="1:4">
      <c r="A561" s="4">
        <v>46002</v>
      </c>
      <c r="B561" s="62">
        <v>-150.69999999999999</v>
      </c>
      <c r="C561" t="s">
        <v>206</v>
      </c>
      <c r="D561" t="s">
        <v>572</v>
      </c>
    </row>
    <row r="562" spans="1:4">
      <c r="A562" s="4">
        <v>46002</v>
      </c>
      <c r="B562" s="62">
        <v>-121.55</v>
      </c>
      <c r="C562" t="s">
        <v>206</v>
      </c>
      <c r="D562" t="s">
        <v>573</v>
      </c>
    </row>
    <row r="563" spans="1:4">
      <c r="A563" s="4">
        <v>46002</v>
      </c>
      <c r="B563" s="62">
        <v>-65.55</v>
      </c>
      <c r="C563" t="s">
        <v>206</v>
      </c>
      <c r="D563" t="s">
        <v>574</v>
      </c>
    </row>
    <row r="564" spans="1:4">
      <c r="A564" s="4">
        <v>46002</v>
      </c>
      <c r="B564" s="62">
        <v>-3</v>
      </c>
      <c r="C564" t="s">
        <v>0</v>
      </c>
      <c r="D564" t="s">
        <v>530</v>
      </c>
    </row>
    <row r="565" spans="1:4">
      <c r="A565" s="4">
        <v>46002</v>
      </c>
      <c r="B565" s="62">
        <v>-0.6</v>
      </c>
      <c r="C565" t="s">
        <v>22</v>
      </c>
      <c r="D565" t="s">
        <v>368</v>
      </c>
    </row>
    <row r="566" spans="1:4">
      <c r="A566" s="4">
        <v>46002</v>
      </c>
      <c r="B566" s="62">
        <v>-0.6</v>
      </c>
      <c r="C566" t="s">
        <v>22</v>
      </c>
      <c r="D566" t="s">
        <v>368</v>
      </c>
    </row>
    <row r="567" spans="1:4">
      <c r="A567" s="4">
        <v>46002</v>
      </c>
      <c r="B567" s="62">
        <v>-5.84</v>
      </c>
      <c r="C567" t="s">
        <v>1</v>
      </c>
      <c r="D567" t="s">
        <v>575</v>
      </c>
    </row>
    <row r="568" spans="1:4">
      <c r="A568" s="4">
        <v>46002</v>
      </c>
      <c r="B568" s="62">
        <v>-5</v>
      </c>
      <c r="C568" t="s">
        <v>1</v>
      </c>
      <c r="D568" t="s">
        <v>576</v>
      </c>
    </row>
    <row r="569" spans="1:4">
      <c r="A569" s="4">
        <v>46002</v>
      </c>
      <c r="B569" s="62">
        <v>-3.58</v>
      </c>
      <c r="C569" t="s">
        <v>1</v>
      </c>
      <c r="D569" t="s">
        <v>577</v>
      </c>
    </row>
    <row r="570" spans="1:4">
      <c r="A570" s="4">
        <v>46003</v>
      </c>
      <c r="B570" s="62">
        <v>-3</v>
      </c>
      <c r="C570" t="s">
        <v>0</v>
      </c>
      <c r="D570" t="s">
        <v>530</v>
      </c>
    </row>
    <row r="571" spans="1:4">
      <c r="A571" s="4">
        <v>46003</v>
      </c>
      <c r="B571" s="62">
        <v>-0.6</v>
      </c>
      <c r="C571" t="s">
        <v>22</v>
      </c>
      <c r="D571" t="s">
        <v>368</v>
      </c>
    </row>
    <row r="572" spans="1:4">
      <c r="A572" s="4">
        <v>46003</v>
      </c>
      <c r="B572" s="62">
        <v>-16.72</v>
      </c>
      <c r="C572" t="s">
        <v>1</v>
      </c>
      <c r="D572" t="s">
        <v>509</v>
      </c>
    </row>
    <row r="573" spans="1:4">
      <c r="A573" s="4">
        <v>46003</v>
      </c>
      <c r="B573" s="62">
        <v>-7.98</v>
      </c>
      <c r="C573" t="s">
        <v>1</v>
      </c>
      <c r="D573" t="s">
        <v>578</v>
      </c>
    </row>
    <row r="574" spans="1:4">
      <c r="A574" s="4">
        <v>46003</v>
      </c>
      <c r="B574" s="62">
        <v>-47</v>
      </c>
      <c r="C574" t="s">
        <v>1</v>
      </c>
      <c r="D574" t="s">
        <v>579</v>
      </c>
    </row>
    <row r="575" spans="1:4">
      <c r="A575" s="4">
        <v>46003</v>
      </c>
      <c r="B575" s="62">
        <v>-4.66</v>
      </c>
      <c r="C575" t="s">
        <v>1</v>
      </c>
      <c r="D575" t="s">
        <v>580</v>
      </c>
    </row>
    <row r="576" spans="1:4">
      <c r="A576" s="4">
        <v>46004</v>
      </c>
      <c r="B576" s="62">
        <v>-7.8</v>
      </c>
      <c r="C576" t="s">
        <v>206</v>
      </c>
      <c r="D576" t="s">
        <v>410</v>
      </c>
    </row>
    <row r="577" spans="1:4">
      <c r="A577" s="4">
        <v>46004</v>
      </c>
      <c r="B577" s="62">
        <v>-10</v>
      </c>
      <c r="C577" t="s">
        <v>1</v>
      </c>
      <c r="D577" t="s">
        <v>581</v>
      </c>
    </row>
    <row r="578" spans="1:4">
      <c r="A578" s="4">
        <v>46004</v>
      </c>
      <c r="B578" s="62">
        <v>-50</v>
      </c>
      <c r="C578" t="s">
        <v>0</v>
      </c>
      <c r="D578" t="s">
        <v>582</v>
      </c>
    </row>
    <row r="579" spans="1:4">
      <c r="A579" s="4">
        <v>46005</v>
      </c>
      <c r="B579" s="62">
        <v>-18</v>
      </c>
      <c r="C579" t="s">
        <v>332</v>
      </c>
      <c r="D579" t="s">
        <v>583</v>
      </c>
    </row>
    <row r="580" spans="1:4">
      <c r="A580" s="4">
        <v>46005</v>
      </c>
      <c r="B580" s="62">
        <v>-13.47</v>
      </c>
      <c r="C580" t="s">
        <v>333</v>
      </c>
      <c r="D580" t="s">
        <v>584</v>
      </c>
    </row>
    <row r="581" spans="1:4">
      <c r="A581" s="4">
        <v>46006</v>
      </c>
      <c r="B581" s="62">
        <v>-3</v>
      </c>
      <c r="C581" t="s">
        <v>0</v>
      </c>
      <c r="D581" t="s">
        <v>530</v>
      </c>
    </row>
    <row r="582" spans="1:4">
      <c r="A582" s="4">
        <v>46006</v>
      </c>
      <c r="B582" s="62">
        <v>-100</v>
      </c>
      <c r="C582" t="s">
        <v>0</v>
      </c>
      <c r="D582" t="s">
        <v>585</v>
      </c>
    </row>
    <row r="583" spans="1:4">
      <c r="A583" s="4">
        <v>46006</v>
      </c>
      <c r="B583" s="62">
        <v>-4.1100000000000003</v>
      </c>
      <c r="C583" t="s">
        <v>0</v>
      </c>
      <c r="D583" t="s">
        <v>586</v>
      </c>
    </row>
    <row r="584" spans="1:4">
      <c r="A584" s="4">
        <v>46006</v>
      </c>
      <c r="B584" s="62">
        <v>-21</v>
      </c>
      <c r="C584" t="s">
        <v>0</v>
      </c>
      <c r="D584" t="s">
        <v>526</v>
      </c>
    </row>
    <row r="585" spans="1:4">
      <c r="A585" s="4">
        <v>46006</v>
      </c>
      <c r="B585" s="62">
        <v>-1.71</v>
      </c>
      <c r="C585" t="s">
        <v>0</v>
      </c>
      <c r="D585" t="s">
        <v>587</v>
      </c>
    </row>
    <row r="586" spans="1:4">
      <c r="A586" s="4">
        <v>46006</v>
      </c>
      <c r="B586" s="62">
        <v>-3.48</v>
      </c>
      <c r="C586" t="s">
        <v>1</v>
      </c>
      <c r="D586" t="s">
        <v>588</v>
      </c>
    </row>
    <row r="587" spans="1:4">
      <c r="A587" s="4">
        <v>46006</v>
      </c>
      <c r="B587" s="62">
        <v>-0.6</v>
      </c>
      <c r="C587" t="s">
        <v>1</v>
      </c>
      <c r="D587" t="s">
        <v>368</v>
      </c>
    </row>
    <row r="588" spans="1:4">
      <c r="A588" s="4">
        <v>46007</v>
      </c>
      <c r="B588" s="62">
        <v>-3</v>
      </c>
      <c r="C588" t="s">
        <v>0</v>
      </c>
      <c r="D588" t="s">
        <v>530</v>
      </c>
    </row>
    <row r="589" spans="1:4">
      <c r="A589" s="4">
        <v>46008</v>
      </c>
      <c r="B589" s="62">
        <v>-3</v>
      </c>
      <c r="C589" t="s">
        <v>0</v>
      </c>
      <c r="D589" t="s">
        <v>530</v>
      </c>
    </row>
    <row r="590" spans="1:4">
      <c r="A590" s="4">
        <v>46008</v>
      </c>
      <c r="B590" s="62">
        <v>-25.5</v>
      </c>
      <c r="C590" t="s">
        <v>0</v>
      </c>
      <c r="D590" t="s">
        <v>199</v>
      </c>
    </row>
    <row r="591" spans="1:4">
      <c r="A591" s="4">
        <v>46009</v>
      </c>
      <c r="B591" s="62">
        <v>-3</v>
      </c>
      <c r="C591" t="s">
        <v>0</v>
      </c>
      <c r="D591" t="s">
        <v>530</v>
      </c>
    </row>
    <row r="592" spans="1:4">
      <c r="A592" s="4">
        <v>46009</v>
      </c>
      <c r="B592" s="62">
        <v>-13</v>
      </c>
      <c r="C592" t="s">
        <v>0</v>
      </c>
      <c r="D592" t="s">
        <v>200</v>
      </c>
    </row>
    <row r="593" spans="1:4">
      <c r="A593" s="4">
        <v>46010</v>
      </c>
      <c r="B593" s="62">
        <v>-3</v>
      </c>
      <c r="C593" t="s">
        <v>0</v>
      </c>
      <c r="D593" t="s">
        <v>530</v>
      </c>
    </row>
    <row r="594" spans="1:4">
      <c r="A594" s="4">
        <v>46011</v>
      </c>
      <c r="B594" s="62">
        <v>-50</v>
      </c>
      <c r="C594" t="s">
        <v>0</v>
      </c>
      <c r="D594" t="s">
        <v>589</v>
      </c>
    </row>
    <row r="595" spans="1:4">
      <c r="A595" s="4">
        <v>46011</v>
      </c>
      <c r="B595" s="62">
        <v>-2.4300000000000002</v>
      </c>
      <c r="C595" t="s">
        <v>1</v>
      </c>
      <c r="D595" t="s">
        <v>473</v>
      </c>
    </row>
    <row r="596" spans="1:4">
      <c r="A596" s="4">
        <v>46011</v>
      </c>
      <c r="B596" s="62">
        <v>-29.86</v>
      </c>
      <c r="C596" t="s">
        <v>1</v>
      </c>
      <c r="D596" t="s">
        <v>526</v>
      </c>
    </row>
    <row r="597" spans="1:4">
      <c r="A597" s="4">
        <v>46011</v>
      </c>
      <c r="B597" s="62">
        <v>-21.57</v>
      </c>
      <c r="C597" t="s">
        <v>1</v>
      </c>
      <c r="D597" t="s">
        <v>590</v>
      </c>
    </row>
    <row r="598" spans="1:4">
      <c r="A598" s="4">
        <v>46012</v>
      </c>
      <c r="B598" s="62">
        <v>-10</v>
      </c>
      <c r="C598" t="s">
        <v>1</v>
      </c>
      <c r="D598" t="s">
        <v>591</v>
      </c>
    </row>
    <row r="599" spans="1:4">
      <c r="A599" s="4">
        <v>46012</v>
      </c>
      <c r="B599" s="62">
        <v>-28.9</v>
      </c>
      <c r="C599" t="s">
        <v>206</v>
      </c>
      <c r="D599" t="s">
        <v>592</v>
      </c>
    </row>
    <row r="600" spans="1:4">
      <c r="A600" s="4">
        <v>46013</v>
      </c>
      <c r="B600" s="62">
        <v>-1</v>
      </c>
      <c r="C600" t="s">
        <v>0</v>
      </c>
      <c r="D600" t="s">
        <v>530</v>
      </c>
    </row>
    <row r="601" spans="1:4">
      <c r="A601" s="4">
        <v>46014</v>
      </c>
      <c r="B601" s="62">
        <v>-3</v>
      </c>
      <c r="C601" t="s">
        <v>0</v>
      </c>
      <c r="D601" t="s">
        <v>530</v>
      </c>
    </row>
    <row r="602" spans="1:4">
      <c r="A602" s="4">
        <v>46015</v>
      </c>
      <c r="B602" s="62">
        <v>-1.8</v>
      </c>
      <c r="C602" t="s">
        <v>337</v>
      </c>
      <c r="D602" t="s">
        <v>368</v>
      </c>
    </row>
    <row r="603" spans="1:4">
      <c r="A603" s="4">
        <v>46015</v>
      </c>
      <c r="B603" s="62">
        <v>-1</v>
      </c>
      <c r="C603" t="s">
        <v>0</v>
      </c>
      <c r="D603" t="s">
        <v>530</v>
      </c>
    </row>
    <row r="604" spans="1:4">
      <c r="A604" s="4">
        <v>46015</v>
      </c>
      <c r="B604" s="62">
        <v>-3</v>
      </c>
      <c r="C604" t="s">
        <v>338</v>
      </c>
      <c r="D604" t="s">
        <v>593</v>
      </c>
    </row>
    <row r="605" spans="1:4">
      <c r="A605" s="4">
        <v>46015</v>
      </c>
      <c r="B605" s="62">
        <v>-13</v>
      </c>
      <c r="C605" t="s">
        <v>337</v>
      </c>
      <c r="D605" t="s">
        <v>200</v>
      </c>
    </row>
    <row r="606" spans="1:4">
      <c r="A606" s="4">
        <v>46015</v>
      </c>
      <c r="B606" s="62">
        <v>-32.299999999999997</v>
      </c>
      <c r="C606" t="s">
        <v>1</v>
      </c>
      <c r="D606" t="s">
        <v>526</v>
      </c>
    </row>
    <row r="607" spans="1:4">
      <c r="A607" s="4">
        <v>46016</v>
      </c>
      <c r="B607" s="62">
        <v>-3</v>
      </c>
      <c r="C607" t="s">
        <v>338</v>
      </c>
      <c r="D607" t="s">
        <v>530</v>
      </c>
    </row>
    <row r="608" spans="1:4">
      <c r="A608" s="4">
        <v>46017</v>
      </c>
      <c r="B608" s="62">
        <v>-1</v>
      </c>
      <c r="C608" t="s">
        <v>338</v>
      </c>
      <c r="D608" t="s">
        <v>530</v>
      </c>
    </row>
    <row r="609" spans="1:4">
      <c r="A609" s="4">
        <v>46017</v>
      </c>
      <c r="B609" s="62">
        <v>-8.5</v>
      </c>
      <c r="C609" t="s">
        <v>337</v>
      </c>
      <c r="D609" t="s">
        <v>594</v>
      </c>
    </row>
    <row r="610" spans="1:4">
      <c r="A610" s="4">
        <v>46017</v>
      </c>
      <c r="B610" s="62">
        <v>-17.03</v>
      </c>
      <c r="C610" t="s">
        <v>0</v>
      </c>
      <c r="D610" t="s">
        <v>590</v>
      </c>
    </row>
    <row r="611" spans="1:4">
      <c r="A611" s="4">
        <v>46017</v>
      </c>
      <c r="B611" s="62">
        <v>-15.39</v>
      </c>
      <c r="C611" t="s">
        <v>339</v>
      </c>
      <c r="D611" t="s">
        <v>595</v>
      </c>
    </row>
    <row r="612" spans="1:4">
      <c r="A612" s="4">
        <v>46018</v>
      </c>
      <c r="B612" s="62">
        <v>-283.8</v>
      </c>
      <c r="C612" t="s">
        <v>340</v>
      </c>
      <c r="D612" t="s">
        <v>596</v>
      </c>
    </row>
    <row r="613" spans="1:4">
      <c r="A613" s="4">
        <v>46018</v>
      </c>
      <c r="B613" s="62">
        <v>-1.71</v>
      </c>
      <c r="C613" t="s">
        <v>0</v>
      </c>
      <c r="D613" t="s">
        <v>587</v>
      </c>
    </row>
    <row r="614" spans="1:4">
      <c r="A614" s="4">
        <v>46018</v>
      </c>
      <c r="B614" s="62">
        <v>-4.9000000000000004</v>
      </c>
      <c r="C614" t="s">
        <v>1</v>
      </c>
      <c r="D614" t="s">
        <v>597</v>
      </c>
    </row>
    <row r="615" spans="1:4">
      <c r="A615" s="4">
        <v>46019</v>
      </c>
      <c r="B615" s="62">
        <v>-29.5</v>
      </c>
      <c r="C615" t="s">
        <v>0</v>
      </c>
      <c r="D615" t="s">
        <v>590</v>
      </c>
    </row>
    <row r="616" spans="1:4">
      <c r="A616" s="4">
        <v>46019</v>
      </c>
      <c r="B616" s="62">
        <v>-21.8</v>
      </c>
      <c r="C616" t="s">
        <v>206</v>
      </c>
      <c r="D616" t="s">
        <v>598</v>
      </c>
    </row>
    <row r="617" spans="1:4">
      <c r="A617" s="4">
        <v>46019</v>
      </c>
      <c r="B617" s="62">
        <v>-26.47</v>
      </c>
      <c r="C617" t="s">
        <v>1</v>
      </c>
      <c r="D617" t="s">
        <v>590</v>
      </c>
    </row>
    <row r="618" spans="1:4">
      <c r="A618" s="4">
        <v>46019</v>
      </c>
      <c r="B618" s="62">
        <v>-13.26</v>
      </c>
      <c r="C618" t="s">
        <v>1</v>
      </c>
      <c r="D618" t="s">
        <v>590</v>
      </c>
    </row>
    <row r="619" spans="1:4">
      <c r="A619" s="4">
        <v>46019</v>
      </c>
      <c r="B619" s="62">
        <v>-33</v>
      </c>
      <c r="C619" t="s">
        <v>1</v>
      </c>
      <c r="D619" t="s">
        <v>590</v>
      </c>
    </row>
    <row r="620" spans="1:4">
      <c r="A620" s="4">
        <v>46020</v>
      </c>
      <c r="B620" s="62">
        <v>-3</v>
      </c>
      <c r="C620" t="s">
        <v>0</v>
      </c>
      <c r="D620" t="s">
        <v>530</v>
      </c>
    </row>
    <row r="621" spans="1:4">
      <c r="A621" s="4">
        <v>46020</v>
      </c>
      <c r="B621" s="62">
        <v>-15</v>
      </c>
      <c r="C621" t="s">
        <v>0</v>
      </c>
      <c r="D621" t="s">
        <v>599</v>
      </c>
    </row>
    <row r="622" spans="1:4">
      <c r="A622" s="4">
        <v>46021</v>
      </c>
      <c r="B622" s="62">
        <v>-21.9</v>
      </c>
      <c r="C622" t="s">
        <v>1</v>
      </c>
      <c r="D622" t="s">
        <v>199</v>
      </c>
    </row>
    <row r="623" spans="1:4">
      <c r="A623" s="4">
        <v>46021</v>
      </c>
      <c r="B623" s="62">
        <v>-9.42</v>
      </c>
      <c r="C623" t="s">
        <v>1</v>
      </c>
      <c r="D623" t="s">
        <v>516</v>
      </c>
    </row>
    <row r="624" spans="1:4">
      <c r="A624" s="4">
        <v>46021</v>
      </c>
      <c r="B624" s="62">
        <v>-3</v>
      </c>
      <c r="C624" t="s">
        <v>0</v>
      </c>
      <c r="D624" t="s">
        <v>530</v>
      </c>
    </row>
    <row r="625" spans="1:4">
      <c r="A625" s="4">
        <v>46021</v>
      </c>
      <c r="B625" s="62">
        <v>-3.5</v>
      </c>
      <c r="C625" t="s">
        <v>0</v>
      </c>
      <c r="D625" t="s">
        <v>593</v>
      </c>
    </row>
    <row r="626" spans="1:4">
      <c r="A626" s="4">
        <v>46021</v>
      </c>
      <c r="B626" s="62">
        <v>-12.52</v>
      </c>
      <c r="C626" t="s">
        <v>1</v>
      </c>
      <c r="D626" t="s">
        <v>516</v>
      </c>
    </row>
    <row r="627" spans="1:4">
      <c r="A627" s="4">
        <v>46021</v>
      </c>
      <c r="B627" s="62">
        <v>-22.9</v>
      </c>
      <c r="C627" t="s">
        <v>1</v>
      </c>
      <c r="D627" t="s">
        <v>200</v>
      </c>
    </row>
    <row r="628" spans="1:4">
      <c r="A628" s="4">
        <v>46021</v>
      </c>
      <c r="B628" s="62">
        <v>-9.9600000000000009</v>
      </c>
      <c r="C628" t="s">
        <v>1</v>
      </c>
      <c r="D628" t="s">
        <v>516</v>
      </c>
    </row>
    <row r="629" spans="1:4">
      <c r="A629" s="4">
        <v>46022</v>
      </c>
      <c r="B629" s="62">
        <v>-30.6</v>
      </c>
      <c r="C629" t="s">
        <v>206</v>
      </c>
      <c r="D629" t="s">
        <v>600</v>
      </c>
    </row>
    <row r="630" spans="1:4">
      <c r="A630" s="4">
        <v>46022</v>
      </c>
      <c r="B630" s="62">
        <v>-3</v>
      </c>
      <c r="C630" t="s">
        <v>0</v>
      </c>
      <c r="D630" t="s">
        <v>530</v>
      </c>
    </row>
    <row r="631" spans="1:4">
      <c r="A631" s="4">
        <v>46022</v>
      </c>
      <c r="B631" s="62">
        <v>-2.96</v>
      </c>
      <c r="C631" t="s">
        <v>0</v>
      </c>
      <c r="D631" t="s">
        <v>601</v>
      </c>
    </row>
    <row r="632" spans="1:4">
      <c r="A632" s="4">
        <v>46022</v>
      </c>
      <c r="B632" s="62">
        <v>-21.18</v>
      </c>
      <c r="C632" t="s">
        <v>0</v>
      </c>
      <c r="D632" t="s">
        <v>595</v>
      </c>
    </row>
    <row r="633" spans="1:4">
      <c r="A633" s="4">
        <v>46023</v>
      </c>
      <c r="B633" s="62">
        <v>-40</v>
      </c>
      <c r="C633" t="s">
        <v>0</v>
      </c>
      <c r="D633" t="s">
        <v>602</v>
      </c>
    </row>
    <row r="634" spans="1:4">
      <c r="A634" s="4">
        <v>46023</v>
      </c>
      <c r="B634" s="62">
        <v>-55</v>
      </c>
      <c r="C634" t="s">
        <v>0</v>
      </c>
      <c r="D634" t="s">
        <v>602</v>
      </c>
    </row>
    <row r="635" spans="1:4">
      <c r="A635" s="4">
        <v>46023</v>
      </c>
      <c r="B635" s="62">
        <v>-17.329999999999998</v>
      </c>
      <c r="C635" t="s">
        <v>343</v>
      </c>
      <c r="D635" t="s">
        <v>516</v>
      </c>
    </row>
    <row r="636" spans="1:4">
      <c r="A636" s="4">
        <v>46023</v>
      </c>
      <c r="B636" s="62">
        <v>-15.12</v>
      </c>
      <c r="C636" t="s">
        <v>344</v>
      </c>
      <c r="D636" t="s">
        <v>516</v>
      </c>
    </row>
    <row r="637" spans="1:4">
      <c r="A637" s="4">
        <v>46023</v>
      </c>
      <c r="B637" s="62">
        <v>-64.5</v>
      </c>
      <c r="C637" t="s">
        <v>344</v>
      </c>
      <c r="D637" t="s">
        <v>516</v>
      </c>
    </row>
    <row r="638" spans="1:4">
      <c r="A638" s="4">
        <v>46023</v>
      </c>
      <c r="B638" s="62">
        <v>-35</v>
      </c>
      <c r="C638" t="s">
        <v>345</v>
      </c>
      <c r="D638" t="s">
        <v>603</v>
      </c>
    </row>
    <row r="639" spans="1:4">
      <c r="A639" s="4">
        <v>46026</v>
      </c>
      <c r="B639" s="62">
        <v>-3</v>
      </c>
      <c r="C639" t="s">
        <v>353</v>
      </c>
      <c r="D639" t="s">
        <v>530</v>
      </c>
    </row>
    <row r="640" spans="1:4">
      <c r="A640" s="4">
        <v>46026</v>
      </c>
      <c r="B640" s="62">
        <v>-34.25</v>
      </c>
      <c r="C640" t="s">
        <v>359</v>
      </c>
      <c r="D640" t="s">
        <v>556</v>
      </c>
    </row>
    <row r="641" spans="1:4">
      <c r="A641" s="4">
        <v>46027</v>
      </c>
      <c r="B641" s="62">
        <v>-68.5</v>
      </c>
      <c r="C641" t="s">
        <v>206</v>
      </c>
      <c r="D641" t="s">
        <v>539</v>
      </c>
    </row>
    <row r="642" spans="1:4">
      <c r="A642" s="4">
        <v>46027</v>
      </c>
      <c r="B642" s="62">
        <v>-69.900000000000006</v>
      </c>
      <c r="C642" t="s">
        <v>359</v>
      </c>
      <c r="D642" t="s">
        <v>604</v>
      </c>
    </row>
    <row r="643" spans="1:4">
      <c r="A643" s="4">
        <v>46027</v>
      </c>
      <c r="B643" s="62">
        <v>-3</v>
      </c>
      <c r="C643" t="s">
        <v>354</v>
      </c>
      <c r="D643" t="s">
        <v>530</v>
      </c>
    </row>
    <row r="644" spans="1:4">
      <c r="A644" s="4">
        <v>46027</v>
      </c>
      <c r="B644" s="62">
        <v>-1700</v>
      </c>
      <c r="C644" t="s">
        <v>355</v>
      </c>
      <c r="D644" t="s">
        <v>605</v>
      </c>
    </row>
    <row r="645" spans="1:4">
      <c r="A645" s="4">
        <v>46028</v>
      </c>
      <c r="B645" s="62">
        <v>-143.08000000000001</v>
      </c>
      <c r="C645" t="s">
        <v>359</v>
      </c>
      <c r="D645" t="s">
        <v>539</v>
      </c>
    </row>
    <row r="646" spans="1:4">
      <c r="A646" s="4">
        <v>46028</v>
      </c>
      <c r="B646" s="62">
        <v>-1</v>
      </c>
      <c r="C646" t="s">
        <v>353</v>
      </c>
      <c r="D646" t="s">
        <v>530</v>
      </c>
    </row>
    <row r="647" spans="1:4">
      <c r="A647" s="4">
        <v>46028</v>
      </c>
      <c r="B647" s="62">
        <v>-3.65</v>
      </c>
      <c r="C647" t="s">
        <v>356</v>
      </c>
      <c r="D647" t="s">
        <v>606</v>
      </c>
    </row>
    <row r="648" spans="1:4">
      <c r="A648" s="4">
        <v>46028</v>
      </c>
      <c r="B648" s="62">
        <v>-13</v>
      </c>
      <c r="C648" t="s">
        <v>357</v>
      </c>
      <c r="D648" t="s">
        <v>200</v>
      </c>
    </row>
    <row r="649" spans="1:4">
      <c r="A649" s="4">
        <v>46028</v>
      </c>
      <c r="B649" s="62">
        <v>-10.25</v>
      </c>
      <c r="C649" t="s">
        <v>358</v>
      </c>
      <c r="D649" t="s">
        <v>526</v>
      </c>
    </row>
    <row r="650" spans="1:4">
      <c r="A650" s="4">
        <v>46028</v>
      </c>
      <c r="B650" s="62">
        <v>-69.39</v>
      </c>
      <c r="C650" t="s">
        <v>360</v>
      </c>
      <c r="D650" t="s">
        <v>607</v>
      </c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消费分类!$A$2:$A$8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49"/>
  <sheetViews>
    <sheetView workbookViewId="0">
      <pane ySplit="1" topLeftCell="A29" activePane="bottomLeft" state="frozen"/>
      <selection pane="bottomLeft" activeCell="A48" sqref="A48"/>
    </sheetView>
  </sheetViews>
  <sheetFormatPr defaultRowHeight="13.8"/>
  <cols>
    <col min="1" max="1" width="11.21875" bestFit="1" customWidth="1"/>
    <col min="3" max="3" width="13.44140625" customWidth="1"/>
    <col min="4" max="4" width="19.44140625" customWidth="1"/>
    <col min="5" max="5" width="17.5546875" customWidth="1"/>
  </cols>
  <sheetData>
    <row r="1" spans="1:5">
      <c r="A1" t="s">
        <v>32</v>
      </c>
      <c r="B1" t="s">
        <v>33</v>
      </c>
      <c r="C1" t="s">
        <v>138</v>
      </c>
      <c r="D1" t="s">
        <v>34</v>
      </c>
      <c r="E1" t="s">
        <v>35</v>
      </c>
    </row>
    <row r="2" spans="1:5">
      <c r="A2" s="4">
        <v>45839</v>
      </c>
      <c r="B2">
        <v>415.26</v>
      </c>
      <c r="C2" t="s">
        <v>163</v>
      </c>
      <c r="D2" t="s">
        <v>69</v>
      </c>
      <c r="E2" t="s">
        <v>64</v>
      </c>
    </row>
    <row r="3" spans="1:5">
      <c r="A3" s="4">
        <v>45843</v>
      </c>
      <c r="B3">
        <v>6790.75</v>
      </c>
      <c r="C3" t="s">
        <v>139</v>
      </c>
      <c r="D3" t="s">
        <v>42</v>
      </c>
      <c r="E3" t="s">
        <v>36</v>
      </c>
    </row>
    <row r="4" spans="1:5">
      <c r="A4" s="4">
        <v>45850</v>
      </c>
      <c r="B4">
        <v>200</v>
      </c>
      <c r="C4" t="s">
        <v>141</v>
      </c>
      <c r="D4" t="s">
        <v>299</v>
      </c>
      <c r="E4" t="s">
        <v>80</v>
      </c>
    </row>
    <row r="5" spans="1:5">
      <c r="A5" s="4">
        <v>45852</v>
      </c>
      <c r="B5">
        <v>84</v>
      </c>
      <c r="C5" t="s">
        <v>164</v>
      </c>
      <c r="D5" t="s">
        <v>100</v>
      </c>
      <c r="E5" t="s">
        <v>101</v>
      </c>
    </row>
    <row r="6" spans="1:5">
      <c r="A6" s="4">
        <v>45853</v>
      </c>
      <c r="B6">
        <v>1100</v>
      </c>
      <c r="C6" t="s">
        <v>140</v>
      </c>
      <c r="D6" t="s">
        <v>104</v>
      </c>
      <c r="E6" t="s">
        <v>36</v>
      </c>
    </row>
    <row r="7" spans="1:5">
      <c r="A7" s="4">
        <v>45855</v>
      </c>
      <c r="B7">
        <v>1000</v>
      </c>
      <c r="C7" t="s">
        <v>140</v>
      </c>
      <c r="D7" t="s">
        <v>109</v>
      </c>
      <c r="E7" t="s">
        <v>110</v>
      </c>
    </row>
    <row r="8" spans="1:5">
      <c r="A8" s="4">
        <v>45859</v>
      </c>
      <c r="B8">
        <v>69.900000000000006</v>
      </c>
      <c r="C8" t="s">
        <v>165</v>
      </c>
      <c r="D8" t="s">
        <v>112</v>
      </c>
      <c r="E8" t="s">
        <v>111</v>
      </c>
    </row>
    <row r="9" spans="1:5">
      <c r="A9" s="4">
        <v>45860</v>
      </c>
      <c r="B9">
        <v>800</v>
      </c>
      <c r="C9" t="s">
        <v>140</v>
      </c>
      <c r="D9" t="s">
        <v>118</v>
      </c>
      <c r="E9" t="s">
        <v>36</v>
      </c>
    </row>
    <row r="10" spans="1:5">
      <c r="A10" s="4">
        <v>45860</v>
      </c>
      <c r="B10">
        <v>314</v>
      </c>
      <c r="C10" t="s">
        <v>166</v>
      </c>
      <c r="D10" t="s">
        <v>119</v>
      </c>
      <c r="E10" t="s">
        <v>123</v>
      </c>
    </row>
    <row r="11" spans="1:5">
      <c r="A11" s="4">
        <v>45860</v>
      </c>
      <c r="B11">
        <v>5.05</v>
      </c>
      <c r="C11" t="s">
        <v>166</v>
      </c>
      <c r="D11" t="s">
        <v>131</v>
      </c>
      <c r="E11" t="s">
        <v>129</v>
      </c>
    </row>
    <row r="12" spans="1:5">
      <c r="A12" s="4">
        <v>45862</v>
      </c>
      <c r="B12">
        <v>3</v>
      </c>
      <c r="C12" t="s">
        <v>166</v>
      </c>
      <c r="D12" t="s">
        <v>128</v>
      </c>
      <c r="E12" t="s">
        <v>130</v>
      </c>
    </row>
    <row r="13" spans="1:5">
      <c r="A13" s="4">
        <v>45863</v>
      </c>
      <c r="B13">
        <v>3.6</v>
      </c>
      <c r="C13" t="s">
        <v>140</v>
      </c>
      <c r="D13" t="s">
        <v>132</v>
      </c>
      <c r="E13" t="s">
        <v>133</v>
      </c>
    </row>
    <row r="14" spans="1:5">
      <c r="A14" s="4">
        <v>45873</v>
      </c>
      <c r="B14">
        <v>50</v>
      </c>
      <c r="C14" t="s">
        <v>167</v>
      </c>
      <c r="D14" t="s">
        <v>168</v>
      </c>
      <c r="E14" t="s">
        <v>169</v>
      </c>
    </row>
    <row r="15" spans="1:5">
      <c r="A15" s="4">
        <v>45874</v>
      </c>
      <c r="B15">
        <v>5704.34</v>
      </c>
      <c r="C15" t="s">
        <v>170</v>
      </c>
      <c r="D15" t="s">
        <v>171</v>
      </c>
      <c r="E15" t="s">
        <v>36</v>
      </c>
    </row>
    <row r="16" spans="1:5">
      <c r="A16" s="4">
        <v>45884</v>
      </c>
      <c r="B16">
        <v>1100</v>
      </c>
      <c r="C16" t="s">
        <v>181</v>
      </c>
      <c r="D16" t="s">
        <v>104</v>
      </c>
      <c r="E16" t="s">
        <v>36</v>
      </c>
    </row>
    <row r="17" spans="1:5">
      <c r="A17" s="4">
        <v>45894</v>
      </c>
      <c r="B17">
        <v>20</v>
      </c>
      <c r="C17" t="s">
        <v>181</v>
      </c>
      <c r="D17" t="s">
        <v>201</v>
      </c>
      <c r="E17" t="s">
        <v>202</v>
      </c>
    </row>
    <row r="18" spans="1:5">
      <c r="A18" s="4">
        <v>45905</v>
      </c>
      <c r="B18">
        <v>5704.35</v>
      </c>
      <c r="C18" t="s">
        <v>170</v>
      </c>
      <c r="D18" t="s">
        <v>207</v>
      </c>
      <c r="E18" t="s">
        <v>36</v>
      </c>
    </row>
    <row r="19" spans="1:5">
      <c r="A19" s="4">
        <v>45909</v>
      </c>
      <c r="B19">
        <v>0.53</v>
      </c>
      <c r="C19" t="s">
        <v>208</v>
      </c>
      <c r="D19" t="s">
        <v>201</v>
      </c>
      <c r="E19" t="s">
        <v>182</v>
      </c>
    </row>
    <row r="20" spans="1:5">
      <c r="A20" s="4">
        <v>45912</v>
      </c>
      <c r="B20">
        <v>29.81</v>
      </c>
      <c r="C20" t="s">
        <v>209</v>
      </c>
      <c r="D20" t="s">
        <v>210</v>
      </c>
      <c r="E20" t="s">
        <v>211</v>
      </c>
    </row>
    <row r="21" spans="1:5">
      <c r="A21" s="4">
        <v>45913</v>
      </c>
      <c r="B21">
        <v>80.3</v>
      </c>
      <c r="C21" t="s">
        <v>212</v>
      </c>
      <c r="D21" t="s">
        <v>213</v>
      </c>
      <c r="E21" t="s">
        <v>214</v>
      </c>
    </row>
    <row r="22" spans="1:5">
      <c r="A22" s="4">
        <v>45915</v>
      </c>
      <c r="B22">
        <v>90.16</v>
      </c>
      <c r="C22" t="s">
        <v>217</v>
      </c>
      <c r="D22" t="s">
        <v>218</v>
      </c>
      <c r="E22" t="s">
        <v>219</v>
      </c>
    </row>
    <row r="23" spans="1:5">
      <c r="A23" s="4">
        <v>45917</v>
      </c>
      <c r="B23">
        <v>1200</v>
      </c>
      <c r="C23" t="s">
        <v>222</v>
      </c>
      <c r="D23" t="s">
        <v>223</v>
      </c>
      <c r="E23" t="s">
        <v>36</v>
      </c>
    </row>
    <row r="24" spans="1:5">
      <c r="A24" s="4">
        <v>45928</v>
      </c>
      <c r="B24">
        <v>2000</v>
      </c>
      <c r="C24" t="s">
        <v>228</v>
      </c>
      <c r="D24" t="s">
        <v>229</v>
      </c>
      <c r="E24" t="s">
        <v>36</v>
      </c>
    </row>
    <row r="25" spans="1:5">
      <c r="A25" s="4">
        <v>45935</v>
      </c>
      <c r="B25">
        <v>5704.35</v>
      </c>
      <c r="C25" t="s">
        <v>243</v>
      </c>
      <c r="D25" t="s">
        <v>244</v>
      </c>
      <c r="E25" t="s">
        <v>36</v>
      </c>
    </row>
    <row r="26" spans="1:5">
      <c r="A26" s="4">
        <v>45938</v>
      </c>
      <c r="B26">
        <v>252</v>
      </c>
      <c r="C26" t="s">
        <v>247</v>
      </c>
      <c r="D26" t="s">
        <v>248</v>
      </c>
      <c r="E26" t="s">
        <v>249</v>
      </c>
    </row>
    <row r="27" spans="1:5">
      <c r="A27" s="4">
        <v>45939</v>
      </c>
      <c r="B27">
        <v>5.94</v>
      </c>
      <c r="C27" t="s">
        <v>253</v>
      </c>
      <c r="D27" t="s">
        <v>255</v>
      </c>
      <c r="E27" t="s">
        <v>36</v>
      </c>
    </row>
    <row r="28" spans="1:5">
      <c r="A28" s="4">
        <v>45940</v>
      </c>
      <c r="B28">
        <v>9.86</v>
      </c>
      <c r="C28" t="s">
        <v>253</v>
      </c>
      <c r="D28" t="s">
        <v>254</v>
      </c>
      <c r="E28" t="s">
        <v>36</v>
      </c>
    </row>
    <row r="29" spans="1:5">
      <c r="A29" s="25">
        <v>45943</v>
      </c>
      <c r="B29" s="26">
        <v>120.25</v>
      </c>
      <c r="C29" s="26" t="s">
        <v>253</v>
      </c>
      <c r="D29" s="26" t="s">
        <v>268</v>
      </c>
      <c r="E29" s="26" t="s">
        <v>269</v>
      </c>
    </row>
    <row r="30" spans="1:5">
      <c r="A30" s="25">
        <v>45947</v>
      </c>
      <c r="B30" s="26">
        <v>97</v>
      </c>
      <c r="C30" s="26" t="s">
        <v>247</v>
      </c>
      <c r="D30" s="26" t="s">
        <v>259</v>
      </c>
      <c r="E30" s="26" t="s">
        <v>258</v>
      </c>
    </row>
    <row r="31" spans="1:5">
      <c r="A31" s="25">
        <v>45947</v>
      </c>
      <c r="B31" s="26">
        <v>97</v>
      </c>
      <c r="C31" s="26" t="s">
        <v>247</v>
      </c>
      <c r="D31" s="26" t="s">
        <v>260</v>
      </c>
      <c r="E31" s="26" t="s">
        <v>261</v>
      </c>
    </row>
    <row r="32" spans="1:5">
      <c r="A32" s="25">
        <v>45947</v>
      </c>
      <c r="B32" s="26">
        <v>251.06</v>
      </c>
      <c r="C32" s="26" t="s">
        <v>247</v>
      </c>
      <c r="D32" s="26" t="s">
        <v>262</v>
      </c>
      <c r="E32" s="26" t="s">
        <v>263</v>
      </c>
    </row>
    <row r="33" spans="1:5">
      <c r="A33" s="25">
        <v>45947</v>
      </c>
      <c r="B33" s="26">
        <v>1039.0899999999999</v>
      </c>
      <c r="C33" s="26" t="s">
        <v>264</v>
      </c>
      <c r="D33" s="26" t="s">
        <v>265</v>
      </c>
      <c r="E33" s="26" t="s">
        <v>266</v>
      </c>
    </row>
    <row r="34" spans="1:5">
      <c r="A34" s="25">
        <v>45947</v>
      </c>
      <c r="B34" s="26">
        <v>6.79</v>
      </c>
      <c r="C34" s="26" t="s">
        <v>264</v>
      </c>
      <c r="D34" s="26" t="s">
        <v>265</v>
      </c>
      <c r="E34" s="26" t="s">
        <v>267</v>
      </c>
    </row>
    <row r="35" spans="1:5">
      <c r="A35" s="4">
        <v>45948</v>
      </c>
      <c r="B35" s="26">
        <v>151.5</v>
      </c>
      <c r="C35" s="26" t="s">
        <v>274</v>
      </c>
      <c r="D35" s="26" t="s">
        <v>276</v>
      </c>
      <c r="E35" s="26" t="s">
        <v>275</v>
      </c>
    </row>
    <row r="36" spans="1:5">
      <c r="A36" s="4">
        <v>45958</v>
      </c>
      <c r="B36" s="26">
        <v>345.66</v>
      </c>
      <c r="C36" s="26" t="s">
        <v>139</v>
      </c>
      <c r="D36" s="26" t="s">
        <v>265</v>
      </c>
      <c r="E36" s="26" t="s">
        <v>278</v>
      </c>
    </row>
    <row r="37" spans="1:5">
      <c r="A37" s="4">
        <v>45966</v>
      </c>
      <c r="B37" s="26">
        <v>7178.74</v>
      </c>
      <c r="C37" s="26" t="s">
        <v>286</v>
      </c>
      <c r="D37" s="26" t="s">
        <v>287</v>
      </c>
      <c r="E37" s="26" t="s">
        <v>226</v>
      </c>
    </row>
    <row r="38" spans="1:5">
      <c r="A38" s="4">
        <v>45987</v>
      </c>
      <c r="B38" s="26">
        <v>71.44</v>
      </c>
      <c r="C38" s="26" t="s">
        <v>298</v>
      </c>
      <c r="D38" s="26" t="s">
        <v>300</v>
      </c>
      <c r="E38" s="26" t="s">
        <v>301</v>
      </c>
    </row>
    <row r="39" spans="1:5">
      <c r="A39" s="4">
        <v>45996</v>
      </c>
      <c r="B39" s="26">
        <v>7178.75</v>
      </c>
      <c r="C39" s="26" t="s">
        <v>298</v>
      </c>
      <c r="D39" s="26" t="s">
        <v>312</v>
      </c>
      <c r="E39" s="26" t="s">
        <v>226</v>
      </c>
    </row>
    <row r="40" spans="1:5">
      <c r="A40" s="4">
        <v>45997</v>
      </c>
      <c r="B40" s="26">
        <v>27.86</v>
      </c>
      <c r="C40" s="26" t="s">
        <v>209</v>
      </c>
      <c r="D40" s="26" t="s">
        <v>330</v>
      </c>
      <c r="E40" s="26" t="s">
        <v>331</v>
      </c>
    </row>
    <row r="41" spans="1:5">
      <c r="A41" s="4">
        <v>46006</v>
      </c>
      <c r="B41" s="26">
        <v>2500</v>
      </c>
      <c r="C41" s="26" t="s">
        <v>163</v>
      </c>
      <c r="D41" s="26" t="s">
        <v>334</v>
      </c>
      <c r="E41" s="26" t="s">
        <v>36</v>
      </c>
    </row>
    <row r="42" spans="1:5">
      <c r="A42" s="4">
        <v>46007</v>
      </c>
      <c r="B42" s="26">
        <v>5.29</v>
      </c>
      <c r="C42" s="26" t="s">
        <v>163</v>
      </c>
      <c r="D42" s="26" t="s">
        <v>341</v>
      </c>
      <c r="E42" s="26" t="s">
        <v>22</v>
      </c>
    </row>
    <row r="43" spans="1:5">
      <c r="A43" s="4">
        <v>46010</v>
      </c>
      <c r="B43" s="26">
        <v>280</v>
      </c>
      <c r="C43" s="26" t="s">
        <v>139</v>
      </c>
      <c r="D43" s="26" t="s">
        <v>335</v>
      </c>
      <c r="E43" s="26" t="s">
        <v>336</v>
      </c>
    </row>
    <row r="44" spans="1:5">
      <c r="A44" s="4">
        <v>46012</v>
      </c>
      <c r="B44" s="26">
        <v>135.04</v>
      </c>
      <c r="C44" t="s">
        <v>141</v>
      </c>
      <c r="D44" t="s">
        <v>299</v>
      </c>
      <c r="E44" s="26" t="s">
        <v>21</v>
      </c>
    </row>
    <row r="45" spans="1:5">
      <c r="A45" s="4">
        <v>46022</v>
      </c>
      <c r="B45" s="26">
        <v>92.36</v>
      </c>
      <c r="C45" s="26" t="s">
        <v>139</v>
      </c>
      <c r="D45" t="s">
        <v>254</v>
      </c>
      <c r="E45" s="26" t="s">
        <v>36</v>
      </c>
    </row>
    <row r="46" spans="1:5">
      <c r="A46" s="4">
        <v>46023</v>
      </c>
      <c r="B46" s="26">
        <v>55.1</v>
      </c>
      <c r="C46" s="26" t="s">
        <v>346</v>
      </c>
      <c r="D46" s="26" t="s">
        <v>348</v>
      </c>
      <c r="E46" s="26" t="s">
        <v>347</v>
      </c>
    </row>
    <row r="47" spans="1:5">
      <c r="A47" s="4">
        <v>46023</v>
      </c>
      <c r="B47" s="26">
        <v>100</v>
      </c>
      <c r="C47" s="26" t="s">
        <v>349</v>
      </c>
      <c r="D47" s="26" t="s">
        <v>350</v>
      </c>
      <c r="E47" s="26" t="s">
        <v>347</v>
      </c>
    </row>
    <row r="48" spans="1:5">
      <c r="A48" s="4">
        <v>46027</v>
      </c>
      <c r="B48" s="26">
        <v>7178.75</v>
      </c>
      <c r="C48" s="26" t="s">
        <v>351</v>
      </c>
      <c r="D48" s="26" t="s">
        <v>352</v>
      </c>
      <c r="E48" s="26" t="s">
        <v>36</v>
      </c>
    </row>
    <row r="49" spans="1:2">
      <c r="A49" s="4"/>
      <c r="B49">
        <f>SUM(B46:B48)</f>
        <v>7333.85</v>
      </c>
    </row>
  </sheetData>
  <autoFilter ref="A1:E45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E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5" sqref="F5"/>
    </sheetView>
  </sheetViews>
  <sheetFormatPr defaultRowHeight="13.8"/>
  <cols>
    <col min="1" max="1" width="11.21875" bestFit="1" customWidth="1"/>
    <col min="2" max="2" width="9.5546875" bestFit="1" customWidth="1"/>
    <col min="3" max="3" width="9.44140625" bestFit="1" customWidth="1"/>
    <col min="4" max="5" width="10.5546875" bestFit="1" customWidth="1"/>
    <col min="6" max="6" width="12.77734375" bestFit="1" customWidth="1"/>
    <col min="7" max="7" width="9.5546875" bestFit="1" customWidth="1"/>
    <col min="8" max="8" width="8.44140625" bestFit="1" customWidth="1"/>
    <col min="9" max="9" width="10" bestFit="1" customWidth="1"/>
    <col min="10" max="10" width="9.44140625" bestFit="1" customWidth="1"/>
    <col min="11" max="11" width="10" bestFit="1" customWidth="1"/>
    <col min="12" max="12" width="8.44140625" bestFit="1" customWidth="1"/>
    <col min="13" max="13" width="10.44140625" bestFit="1" customWidth="1"/>
    <col min="14" max="14" width="9.44140625" bestFit="1" customWidth="1"/>
    <col min="15" max="15" width="10" bestFit="1" customWidth="1"/>
    <col min="16" max="18" width="9.5546875" customWidth="1"/>
    <col min="19" max="19" width="9.44140625" bestFit="1" customWidth="1"/>
    <col min="20" max="20" width="8.44140625" bestFit="1" customWidth="1"/>
    <col min="21" max="21" width="10" style="47" customWidth="1"/>
    <col min="22" max="22" width="12.33203125" customWidth="1"/>
    <col min="23" max="23" width="12.44140625" customWidth="1"/>
    <col min="24" max="24" width="12.33203125" customWidth="1"/>
    <col min="25" max="25" width="12.33203125" style="17" customWidth="1"/>
    <col min="26" max="26" width="11.33203125" customWidth="1"/>
    <col min="27" max="27" width="12.77734375" style="17" customWidth="1"/>
    <col min="28" max="28" width="10.44140625" customWidth="1"/>
    <col min="29" max="29" width="9.44140625" bestFit="1" customWidth="1"/>
    <col min="30" max="30" width="12.77734375" customWidth="1"/>
  </cols>
  <sheetData>
    <row r="1" spans="1:31">
      <c r="A1" t="s">
        <v>9</v>
      </c>
      <c r="B1" s="11" t="s">
        <v>361</v>
      </c>
      <c r="C1" s="11" t="s">
        <v>362</v>
      </c>
      <c r="D1" s="11" t="s">
        <v>363</v>
      </c>
      <c r="E1" s="11" t="s">
        <v>364</v>
      </c>
      <c r="F1" s="11" t="s">
        <v>365</v>
      </c>
      <c r="G1" t="s">
        <v>215</v>
      </c>
      <c r="H1" t="s">
        <v>0</v>
      </c>
      <c r="I1" t="s">
        <v>224</v>
      </c>
      <c r="J1" s="1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12</v>
      </c>
      <c r="P1" s="16" t="s">
        <v>236</v>
      </c>
      <c r="Q1" s="16" t="s">
        <v>237</v>
      </c>
      <c r="R1" s="11" t="s">
        <v>216</v>
      </c>
      <c r="S1" s="24" t="s">
        <v>13</v>
      </c>
      <c r="T1" s="24" t="s">
        <v>238</v>
      </c>
      <c r="U1" s="41" t="s">
        <v>342</v>
      </c>
      <c r="V1" t="s">
        <v>239</v>
      </c>
      <c r="W1" t="s">
        <v>240</v>
      </c>
      <c r="X1" t="s">
        <v>257</v>
      </c>
      <c r="Y1" s="17" t="s">
        <v>273</v>
      </c>
      <c r="Z1" t="s">
        <v>302</v>
      </c>
      <c r="AA1" t="s">
        <v>303</v>
      </c>
    </row>
    <row r="2" spans="1:31">
      <c r="A2" s="4">
        <v>45803</v>
      </c>
      <c r="B2" s="42">
        <v>0</v>
      </c>
      <c r="C2" s="42">
        <v>0</v>
      </c>
      <c r="D2" s="42">
        <v>0</v>
      </c>
      <c r="E2" s="42">
        <v>0</v>
      </c>
      <c r="F2" s="42">
        <v>0</v>
      </c>
      <c r="G2" s="17">
        <v>0</v>
      </c>
      <c r="H2" s="17">
        <v>786.8</v>
      </c>
      <c r="I2" s="17">
        <v>136.25</v>
      </c>
      <c r="J2" s="17">
        <v>8071.79</v>
      </c>
      <c r="K2" s="17">
        <v>248.86</v>
      </c>
      <c r="L2" s="17">
        <v>1952.83</v>
      </c>
      <c r="M2" s="17">
        <v>146719.07999999999</v>
      </c>
      <c r="N2" s="17">
        <v>91.61</v>
      </c>
      <c r="O2" s="17">
        <v>0</v>
      </c>
      <c r="P2" s="18"/>
      <c r="Q2" s="18"/>
      <c r="R2" s="19">
        <v>0</v>
      </c>
      <c r="S2" s="23"/>
      <c r="T2" s="23"/>
      <c r="U2" s="44"/>
      <c r="V2" s="11" t="s">
        <v>272</v>
      </c>
    </row>
    <row r="3" spans="1:31">
      <c r="A3" s="4">
        <v>45825</v>
      </c>
      <c r="B3" s="42">
        <v>0</v>
      </c>
      <c r="C3" s="42">
        <v>-15.44</v>
      </c>
      <c r="D3" s="42">
        <v>0</v>
      </c>
      <c r="E3" s="42">
        <v>0</v>
      </c>
      <c r="F3" s="42">
        <v>0</v>
      </c>
      <c r="G3" s="17">
        <v>0</v>
      </c>
      <c r="H3" s="17">
        <v>4020.36</v>
      </c>
      <c r="I3" s="17">
        <v>9.4499999999999993</v>
      </c>
      <c r="J3" s="17">
        <v>4498.82</v>
      </c>
      <c r="K3" s="17">
        <v>248.86</v>
      </c>
      <c r="L3" s="17">
        <v>1952.83</v>
      </c>
      <c r="M3" s="17">
        <v>146719.07999999999</v>
      </c>
      <c r="N3" s="17">
        <v>91.61</v>
      </c>
      <c r="O3" s="17">
        <v>0</v>
      </c>
      <c r="P3" s="18"/>
      <c r="Q3" s="18"/>
      <c r="R3" s="19">
        <v>0</v>
      </c>
      <c r="S3" s="23"/>
      <c r="T3" s="23"/>
      <c r="U3" s="44"/>
    </row>
    <row r="4" spans="1:31" s="21" customFormat="1">
      <c r="A4" s="22">
        <v>45839</v>
      </c>
      <c r="B4" s="43">
        <v>-28.69</v>
      </c>
      <c r="C4" s="43">
        <v>-1667.75</v>
      </c>
      <c r="D4" s="43">
        <v>0</v>
      </c>
      <c r="E4" s="43">
        <v>0</v>
      </c>
      <c r="F4" s="43">
        <v>0</v>
      </c>
      <c r="G4" s="27">
        <v>0</v>
      </c>
      <c r="H4" s="27">
        <v>479.08</v>
      </c>
      <c r="I4" s="27">
        <v>5.0199999999999996</v>
      </c>
      <c r="J4" s="27">
        <v>2342.79</v>
      </c>
      <c r="K4" s="27">
        <v>248.86</v>
      </c>
      <c r="L4" s="27">
        <v>1952.83</v>
      </c>
      <c r="M4" s="27">
        <v>91523.599999999991</v>
      </c>
      <c r="N4" s="27">
        <v>91.61</v>
      </c>
      <c r="O4" s="27">
        <v>8.9600000000000009</v>
      </c>
      <c r="P4" s="28">
        <v>50000</v>
      </c>
      <c r="Q4" s="28">
        <v>5204.5200000000004</v>
      </c>
      <c r="R4" s="29">
        <v>0</v>
      </c>
      <c r="S4" s="30">
        <v>4000</v>
      </c>
      <c r="T4" s="30">
        <v>2500</v>
      </c>
      <c r="U4" s="45"/>
      <c r="V4" s="27">
        <f t="shared" ref="V4:V38" si="0">SUM(B4:O4)</f>
        <v>94956.31</v>
      </c>
      <c r="W4" s="27">
        <f t="shared" ref="W4:W27" si="1">SUM(B4:Q4)</f>
        <v>150160.82999999999</v>
      </c>
      <c r="X4" s="31">
        <f t="shared" ref="X4:X27" si="2">SUM(B4:S4)</f>
        <v>154160.82999999999</v>
      </c>
      <c r="Y4" s="40">
        <f>X4-$AE$4</f>
        <v>12637.239999999991</v>
      </c>
      <c r="AA4" s="27"/>
      <c r="AD4" s="32" t="s">
        <v>117</v>
      </c>
      <c r="AE4" s="33">
        <v>141523.59</v>
      </c>
    </row>
    <row r="5" spans="1:31">
      <c r="A5" s="4">
        <v>45843</v>
      </c>
      <c r="B5" s="42">
        <v>-28.69</v>
      </c>
      <c r="C5" s="42">
        <v>-1667.75</v>
      </c>
      <c r="D5" s="42">
        <v>0</v>
      </c>
      <c r="E5" s="42">
        <v>0</v>
      </c>
      <c r="F5" s="42">
        <v>0</v>
      </c>
      <c r="G5" s="17">
        <v>0</v>
      </c>
      <c r="H5" s="17">
        <v>42.63</v>
      </c>
      <c r="I5" s="17">
        <v>5.0199999999999996</v>
      </c>
      <c r="J5" s="17">
        <v>2342.79</v>
      </c>
      <c r="K5" s="17">
        <v>248.86</v>
      </c>
      <c r="L5" s="17">
        <v>1952.83</v>
      </c>
      <c r="M5" s="17">
        <v>91523.599999999991</v>
      </c>
      <c r="N5" s="17">
        <v>91.61</v>
      </c>
      <c r="O5" s="17">
        <v>6799.71</v>
      </c>
      <c r="P5" s="18">
        <v>50000</v>
      </c>
      <c r="Q5" s="18">
        <v>5204.5200000000004</v>
      </c>
      <c r="R5" s="19">
        <v>0</v>
      </c>
      <c r="S5" s="23">
        <v>4000</v>
      </c>
      <c r="T5" s="23">
        <v>2500</v>
      </c>
      <c r="U5" s="44"/>
      <c r="V5" s="17">
        <f t="shared" si="0"/>
        <v>101310.61</v>
      </c>
      <c r="W5" s="17">
        <f t="shared" si="1"/>
        <v>156515.12999999998</v>
      </c>
      <c r="X5" s="20">
        <f t="shared" si="2"/>
        <v>160515.12999999998</v>
      </c>
      <c r="Y5" s="34">
        <f t="shared" ref="Y5:Y24" si="3">X5-$AE$4</f>
        <v>18991.539999999979</v>
      </c>
      <c r="Z5" s="17"/>
      <c r="AD5" s="5"/>
      <c r="AE5" s="5"/>
    </row>
    <row r="6" spans="1:31">
      <c r="A6" s="4">
        <v>45850</v>
      </c>
      <c r="B6" s="42">
        <v>-232.69</v>
      </c>
      <c r="C6" s="42">
        <v>-1667.75</v>
      </c>
      <c r="D6" s="42">
        <v>-30.42</v>
      </c>
      <c r="E6" s="42">
        <v>0</v>
      </c>
      <c r="F6" s="42">
        <v>-5000</v>
      </c>
      <c r="G6" s="17">
        <v>0</v>
      </c>
      <c r="H6" s="17">
        <v>2020.14</v>
      </c>
      <c r="I6" s="17">
        <v>7089.51</v>
      </c>
      <c r="J6" s="17">
        <v>1.63</v>
      </c>
      <c r="K6" s="17">
        <v>0.89</v>
      </c>
      <c r="L6" s="17">
        <v>0.08</v>
      </c>
      <c r="M6" s="17">
        <v>91523.599999999991</v>
      </c>
      <c r="N6" s="17">
        <v>91.62</v>
      </c>
      <c r="O6" s="17">
        <v>6799.71</v>
      </c>
      <c r="P6" s="18">
        <v>50000</v>
      </c>
      <c r="Q6" s="18">
        <v>5204.5200000000004</v>
      </c>
      <c r="R6" s="19">
        <v>0</v>
      </c>
      <c r="S6" s="23">
        <v>4000</v>
      </c>
      <c r="T6" s="23">
        <v>2500</v>
      </c>
      <c r="U6" s="44"/>
      <c r="V6" s="17">
        <f t="shared" si="0"/>
        <v>100596.31999999999</v>
      </c>
      <c r="W6" s="17">
        <f t="shared" si="1"/>
        <v>155800.84</v>
      </c>
      <c r="X6" s="20">
        <f t="shared" si="2"/>
        <v>159800.84</v>
      </c>
      <c r="Y6" s="34">
        <f t="shared" si="3"/>
        <v>18277.25</v>
      </c>
      <c r="Z6" s="17"/>
    </row>
    <row r="7" spans="1:31">
      <c r="A7" s="4">
        <v>45854</v>
      </c>
      <c r="B7" s="42">
        <v>-616.30999999999995</v>
      </c>
      <c r="C7" s="42">
        <v>-1680.65</v>
      </c>
      <c r="D7" s="42">
        <v>-30.42</v>
      </c>
      <c r="E7" s="42">
        <v>0</v>
      </c>
      <c r="F7" s="42">
        <v>-5000</v>
      </c>
      <c r="G7" s="17">
        <v>0</v>
      </c>
      <c r="H7" s="17">
        <v>1814.57</v>
      </c>
      <c r="I7" s="17">
        <v>7090.65</v>
      </c>
      <c r="J7" s="17">
        <v>1.63</v>
      </c>
      <c r="K7" s="17">
        <v>0.89</v>
      </c>
      <c r="L7" s="17">
        <v>0.08</v>
      </c>
      <c r="M7" s="17">
        <v>91523.599999999991</v>
      </c>
      <c r="N7" s="17">
        <v>91.62</v>
      </c>
      <c r="O7" s="17">
        <v>7899.71</v>
      </c>
      <c r="P7" s="18">
        <v>50000</v>
      </c>
      <c r="Q7" s="18">
        <v>5204.5200000000004</v>
      </c>
      <c r="R7" s="19">
        <v>0</v>
      </c>
      <c r="S7" s="23">
        <v>4000</v>
      </c>
      <c r="T7" s="23">
        <v>2500</v>
      </c>
      <c r="U7" s="44"/>
      <c r="V7" s="17">
        <f t="shared" si="0"/>
        <v>101095.37</v>
      </c>
      <c r="W7" s="17">
        <f t="shared" si="1"/>
        <v>156299.88999999998</v>
      </c>
      <c r="X7" s="20">
        <f t="shared" si="2"/>
        <v>160299.88999999998</v>
      </c>
      <c r="Y7" s="34">
        <f t="shared" si="3"/>
        <v>18776.299999999988</v>
      </c>
      <c r="Z7" s="17"/>
    </row>
    <row r="8" spans="1:31">
      <c r="A8" s="4">
        <v>45859</v>
      </c>
      <c r="B8" s="42">
        <v>-604.94000000000005</v>
      </c>
      <c r="C8" s="42">
        <v>-1527.49</v>
      </c>
      <c r="D8" s="42">
        <v>-30.42</v>
      </c>
      <c r="E8" s="42">
        <v>0</v>
      </c>
      <c r="F8" s="42">
        <v>-5000</v>
      </c>
      <c r="G8" s="17">
        <v>0</v>
      </c>
      <c r="H8" s="17">
        <v>2644.45</v>
      </c>
      <c r="I8" s="17">
        <v>8573.06</v>
      </c>
      <c r="J8" s="17">
        <v>1.63</v>
      </c>
      <c r="K8" s="17">
        <v>0.89</v>
      </c>
      <c r="L8" s="17">
        <v>0.08</v>
      </c>
      <c r="M8" s="17">
        <v>84002.159999999989</v>
      </c>
      <c r="N8" s="17">
        <v>91.62</v>
      </c>
      <c r="O8" s="17">
        <v>13727.37</v>
      </c>
      <c r="P8" s="18">
        <v>50000</v>
      </c>
      <c r="Q8" s="18">
        <v>5204.5200000000004</v>
      </c>
      <c r="R8" s="19">
        <v>0</v>
      </c>
      <c r="S8" s="23">
        <v>4000</v>
      </c>
      <c r="T8" s="23">
        <v>2500</v>
      </c>
      <c r="U8" s="44"/>
      <c r="V8" s="17">
        <f t="shared" si="0"/>
        <v>101878.40999999997</v>
      </c>
      <c r="W8" s="17">
        <f t="shared" si="1"/>
        <v>157082.92999999996</v>
      </c>
      <c r="X8" s="20">
        <f t="shared" si="2"/>
        <v>161082.92999999996</v>
      </c>
      <c r="Y8" s="34">
        <f t="shared" si="3"/>
        <v>19559.339999999967</v>
      </c>
      <c r="Z8" s="17"/>
    </row>
    <row r="9" spans="1:31">
      <c r="A9" s="4">
        <v>45860</v>
      </c>
      <c r="B9" s="42">
        <v>-303.93</v>
      </c>
      <c r="C9" s="42">
        <v>-1527.49</v>
      </c>
      <c r="D9" s="42">
        <v>-30.42</v>
      </c>
      <c r="E9" s="42">
        <v>0</v>
      </c>
      <c r="F9" s="42">
        <v>-5000</v>
      </c>
      <c r="G9" s="17">
        <v>0</v>
      </c>
      <c r="H9" s="17">
        <v>2637.25</v>
      </c>
      <c r="I9" s="17">
        <v>8573.34</v>
      </c>
      <c r="J9" s="17">
        <v>1.63</v>
      </c>
      <c r="K9" s="17">
        <v>0.89</v>
      </c>
      <c r="L9" s="17">
        <v>0.08</v>
      </c>
      <c r="M9" s="17">
        <v>81002.159999999989</v>
      </c>
      <c r="N9" s="17">
        <v>91.62</v>
      </c>
      <c r="O9" s="17">
        <v>17527.37</v>
      </c>
      <c r="P9" s="18">
        <v>50000</v>
      </c>
      <c r="Q9" s="18">
        <v>5204.5200000000004</v>
      </c>
      <c r="R9" s="19">
        <v>0</v>
      </c>
      <c r="S9" s="23">
        <v>4000</v>
      </c>
      <c r="T9" s="23">
        <v>2500</v>
      </c>
      <c r="U9" s="44"/>
      <c r="V9" s="17">
        <f t="shared" si="0"/>
        <v>102972.49999999999</v>
      </c>
      <c r="W9" s="17">
        <f t="shared" si="1"/>
        <v>158177.01999999999</v>
      </c>
      <c r="X9" s="20">
        <f t="shared" si="2"/>
        <v>162177.01999999999</v>
      </c>
      <c r="Y9" s="34">
        <f t="shared" si="3"/>
        <v>20653.429999999993</v>
      </c>
      <c r="Z9" s="17"/>
    </row>
    <row r="10" spans="1:31" s="21" customFormat="1">
      <c r="A10" s="22">
        <v>45869</v>
      </c>
      <c r="B10" s="43">
        <v>-367.02</v>
      </c>
      <c r="C10" s="43">
        <v>-1527.49</v>
      </c>
      <c r="D10" s="43">
        <v>-30.42</v>
      </c>
      <c r="E10" s="43">
        <v>0</v>
      </c>
      <c r="F10" s="43">
        <v>-5000</v>
      </c>
      <c r="G10" s="27">
        <v>0</v>
      </c>
      <c r="H10" s="27">
        <v>2161.75</v>
      </c>
      <c r="I10" s="27">
        <v>8545.99</v>
      </c>
      <c r="J10" s="27">
        <v>1.63</v>
      </c>
      <c r="K10" s="27">
        <v>0.89</v>
      </c>
      <c r="L10" s="27">
        <v>0.08</v>
      </c>
      <c r="M10" s="27">
        <v>69002.159999999989</v>
      </c>
      <c r="N10" s="27">
        <v>91.61</v>
      </c>
      <c r="O10" s="27">
        <v>29526.86</v>
      </c>
      <c r="P10" s="28">
        <v>50000</v>
      </c>
      <c r="Q10" s="28">
        <v>5204.5200000000004</v>
      </c>
      <c r="R10" s="29">
        <v>0</v>
      </c>
      <c r="S10" s="30">
        <v>4000</v>
      </c>
      <c r="T10" s="30">
        <v>2500</v>
      </c>
      <c r="U10" s="45"/>
      <c r="V10" s="27">
        <f t="shared" si="0"/>
        <v>102406.04</v>
      </c>
      <c r="W10" s="27">
        <f t="shared" si="1"/>
        <v>157610.55999999997</v>
      </c>
      <c r="X10" s="31">
        <f t="shared" si="2"/>
        <v>161610.55999999997</v>
      </c>
      <c r="Y10" s="27">
        <f t="shared" si="3"/>
        <v>20086.969999999972</v>
      </c>
      <c r="Z10" s="27"/>
      <c r="AA10" s="27"/>
    </row>
    <row r="11" spans="1:31">
      <c r="A11" s="4">
        <v>45877</v>
      </c>
      <c r="B11" s="42">
        <v>-407.48</v>
      </c>
      <c r="C11" s="42">
        <v>-1527.49</v>
      </c>
      <c r="D11" s="42">
        <v>0</v>
      </c>
      <c r="E11" s="42">
        <v>0</v>
      </c>
      <c r="F11" s="42">
        <v>-4195.6499999999996</v>
      </c>
      <c r="G11" s="17">
        <v>0</v>
      </c>
      <c r="H11" s="17">
        <v>1845.59</v>
      </c>
      <c r="I11" s="17">
        <v>8517.98</v>
      </c>
      <c r="J11" s="17">
        <v>2197.2800000000002</v>
      </c>
      <c r="K11" s="17">
        <v>0.89</v>
      </c>
      <c r="L11" s="17">
        <v>0.08</v>
      </c>
      <c r="M11" s="17">
        <v>66002.159999999989</v>
      </c>
      <c r="N11" s="17">
        <v>91.61</v>
      </c>
      <c r="O11" s="17">
        <v>34747.699999999997</v>
      </c>
      <c r="P11" s="18">
        <v>50000</v>
      </c>
      <c r="Q11" s="18">
        <v>5204.5200000000004</v>
      </c>
      <c r="R11" s="19">
        <v>0</v>
      </c>
      <c r="S11" s="23">
        <v>4000</v>
      </c>
      <c r="T11" s="23">
        <v>2500</v>
      </c>
      <c r="U11" s="44"/>
      <c r="V11" s="17">
        <f t="shared" si="0"/>
        <v>107272.66999999998</v>
      </c>
      <c r="W11" s="17">
        <f t="shared" si="1"/>
        <v>162477.18999999997</v>
      </c>
      <c r="X11" s="20">
        <f t="shared" si="2"/>
        <v>166477.18999999997</v>
      </c>
      <c r="Y11" s="34">
        <f t="shared" si="3"/>
        <v>24953.599999999977</v>
      </c>
      <c r="Z11" s="17"/>
    </row>
    <row r="12" spans="1:31">
      <c r="A12" s="4">
        <v>45884</v>
      </c>
      <c r="B12" s="42">
        <v>-441.09</v>
      </c>
      <c r="C12" s="42">
        <v>-1527.49</v>
      </c>
      <c r="D12" s="42">
        <v>0</v>
      </c>
      <c r="E12" s="42">
        <v>0</v>
      </c>
      <c r="F12" s="42">
        <v>-4195.6499999999996</v>
      </c>
      <c r="G12" s="17">
        <v>0</v>
      </c>
      <c r="H12" s="17">
        <v>1570.5</v>
      </c>
      <c r="I12" s="17">
        <v>8479.0300000000007</v>
      </c>
      <c r="J12" s="17">
        <v>2197.2800000000002</v>
      </c>
      <c r="K12" s="17">
        <v>0.89</v>
      </c>
      <c r="L12" s="17">
        <v>0.08</v>
      </c>
      <c r="M12" s="17">
        <v>66002.159999999989</v>
      </c>
      <c r="N12" s="17">
        <v>91.61</v>
      </c>
      <c r="O12" s="17">
        <v>35834.71</v>
      </c>
      <c r="P12" s="18">
        <v>50000</v>
      </c>
      <c r="Q12" s="18">
        <v>5204.5200000000004</v>
      </c>
      <c r="R12" s="19">
        <v>0</v>
      </c>
      <c r="S12" s="23">
        <v>4000</v>
      </c>
      <c r="T12" s="23">
        <v>2500</v>
      </c>
      <c r="U12" s="44"/>
      <c r="V12" s="17">
        <f t="shared" si="0"/>
        <v>108012.03</v>
      </c>
      <c r="W12" s="17">
        <f t="shared" si="1"/>
        <v>163216.54999999999</v>
      </c>
      <c r="X12" s="20">
        <f t="shared" si="2"/>
        <v>167216.54999999999</v>
      </c>
      <c r="Y12" s="34">
        <f t="shared" si="3"/>
        <v>25692.959999999992</v>
      </c>
      <c r="Z12" s="17"/>
    </row>
    <row r="13" spans="1:31">
      <c r="A13" s="4">
        <v>45891</v>
      </c>
      <c r="B13" s="42">
        <v>-79.260000000000005</v>
      </c>
      <c r="C13" s="42">
        <v>-1376.9</v>
      </c>
      <c r="D13" s="42">
        <v>0</v>
      </c>
      <c r="E13" s="42">
        <v>0</v>
      </c>
      <c r="F13" s="42">
        <v>-4195.6499999999996</v>
      </c>
      <c r="G13" s="17">
        <v>0</v>
      </c>
      <c r="H13" s="17">
        <v>1492</v>
      </c>
      <c r="I13" s="17">
        <v>8465.24</v>
      </c>
      <c r="J13" s="17">
        <v>5184.59</v>
      </c>
      <c r="K13" s="17">
        <v>0.89</v>
      </c>
      <c r="L13" s="17">
        <v>0.08</v>
      </c>
      <c r="M13" s="17">
        <v>51002.159999999989</v>
      </c>
      <c r="N13" s="17">
        <v>91.61</v>
      </c>
      <c r="O13" s="17">
        <v>44276.639999999999</v>
      </c>
      <c r="P13" s="18">
        <v>50000</v>
      </c>
      <c r="Q13" s="18">
        <v>5204.5200000000004</v>
      </c>
      <c r="R13" s="19">
        <v>0</v>
      </c>
      <c r="S13" s="23">
        <v>7000</v>
      </c>
      <c r="T13" s="23">
        <v>2500</v>
      </c>
      <c r="U13" s="44"/>
      <c r="V13" s="17">
        <f t="shared" si="0"/>
        <v>104861.4</v>
      </c>
      <c r="W13" s="17">
        <f t="shared" si="1"/>
        <v>160065.91999999998</v>
      </c>
      <c r="X13" s="20">
        <f t="shared" si="2"/>
        <v>167065.91999999998</v>
      </c>
      <c r="Y13" s="34">
        <f t="shared" si="3"/>
        <v>25542.329999999987</v>
      </c>
      <c r="Z13" s="17"/>
    </row>
    <row r="14" spans="1:31" s="21" customFormat="1">
      <c r="A14" s="22">
        <v>45900</v>
      </c>
      <c r="B14" s="43">
        <v>-82.26</v>
      </c>
      <c r="C14" s="43">
        <v>-1376.9</v>
      </c>
      <c r="D14" s="43">
        <v>0</v>
      </c>
      <c r="E14" s="43">
        <v>0</v>
      </c>
      <c r="F14" s="43">
        <v>-4195.6499999999996</v>
      </c>
      <c r="G14" s="27">
        <v>0</v>
      </c>
      <c r="H14" s="27">
        <v>1110.1199999999999</v>
      </c>
      <c r="I14" s="27">
        <v>8228.69</v>
      </c>
      <c r="J14" s="27">
        <v>5184.59</v>
      </c>
      <c r="K14" s="27">
        <v>0.89</v>
      </c>
      <c r="L14" s="27">
        <v>0.08</v>
      </c>
      <c r="M14" s="27">
        <v>50000</v>
      </c>
      <c r="N14" s="27">
        <v>91.61</v>
      </c>
      <c r="O14" s="27">
        <v>43278.8</v>
      </c>
      <c r="P14" s="28">
        <v>50000</v>
      </c>
      <c r="Q14" s="28">
        <v>5204.5200000000004</v>
      </c>
      <c r="R14" s="29">
        <v>0</v>
      </c>
      <c r="S14" s="30">
        <v>9000</v>
      </c>
      <c r="T14" s="30">
        <v>2500</v>
      </c>
      <c r="U14" s="45"/>
      <c r="V14" s="27">
        <f t="shared" si="0"/>
        <v>102239.97</v>
      </c>
      <c r="W14" s="27">
        <f t="shared" si="1"/>
        <v>157444.49</v>
      </c>
      <c r="X14" s="31">
        <f t="shared" si="2"/>
        <v>166444.49</v>
      </c>
      <c r="Y14" s="27">
        <f t="shared" si="3"/>
        <v>24920.899999999994</v>
      </c>
      <c r="Z14" s="27"/>
      <c r="AA14" s="27"/>
    </row>
    <row r="15" spans="1:31">
      <c r="A15" s="4">
        <v>45905</v>
      </c>
      <c r="B15" s="42">
        <v>-82.26</v>
      </c>
      <c r="C15" s="42">
        <v>-1399.39</v>
      </c>
      <c r="D15" s="42">
        <v>0</v>
      </c>
      <c r="E15" s="42">
        <v>-47.3</v>
      </c>
      <c r="F15" s="42">
        <v>-4195.6499999999996</v>
      </c>
      <c r="G15" s="17">
        <v>0</v>
      </c>
      <c r="H15" s="17">
        <v>528.05999999999995</v>
      </c>
      <c r="I15" s="17">
        <v>13230.51</v>
      </c>
      <c r="J15" s="17">
        <v>184.59</v>
      </c>
      <c r="K15" s="17">
        <v>0.89</v>
      </c>
      <c r="L15" s="17">
        <v>0.08</v>
      </c>
      <c r="M15" s="17">
        <v>50000</v>
      </c>
      <c r="N15" s="17">
        <v>91.61</v>
      </c>
      <c r="O15" s="17">
        <v>48983.15</v>
      </c>
      <c r="P15" s="18">
        <v>50000</v>
      </c>
      <c r="Q15" s="18">
        <v>5204.5200000000004</v>
      </c>
      <c r="R15" s="19">
        <v>0</v>
      </c>
      <c r="S15" s="23">
        <v>9000</v>
      </c>
      <c r="T15" s="23">
        <v>2500</v>
      </c>
      <c r="U15" s="44"/>
      <c r="V15" s="17">
        <f t="shared" si="0"/>
        <v>107294.29000000001</v>
      </c>
      <c r="W15" s="17">
        <f t="shared" si="1"/>
        <v>162498.81</v>
      </c>
      <c r="X15" s="20">
        <f t="shared" si="2"/>
        <v>171498.81</v>
      </c>
      <c r="Y15" s="34">
        <f t="shared" si="3"/>
        <v>29975.22</v>
      </c>
      <c r="Z15" s="17"/>
    </row>
    <row r="16" spans="1:31">
      <c r="A16" s="4">
        <v>45914</v>
      </c>
      <c r="B16" s="42">
        <v>-82.26</v>
      </c>
      <c r="C16" s="42">
        <v>-1470.37</v>
      </c>
      <c r="D16" s="42">
        <v>0</v>
      </c>
      <c r="E16" s="42">
        <v>-47.3</v>
      </c>
      <c r="F16" s="42">
        <v>-3380.07</v>
      </c>
      <c r="G16" s="17">
        <v>9.9</v>
      </c>
      <c r="H16" s="17">
        <v>222.23</v>
      </c>
      <c r="I16" s="17">
        <v>12416.36</v>
      </c>
      <c r="J16" s="17">
        <v>69.010000000000005</v>
      </c>
      <c r="K16" s="17">
        <v>0.89</v>
      </c>
      <c r="L16" s="17">
        <v>0.08</v>
      </c>
      <c r="M16" s="17">
        <v>50000</v>
      </c>
      <c r="N16" s="17">
        <v>91.61</v>
      </c>
      <c r="O16" s="17">
        <v>33982.839999999997</v>
      </c>
      <c r="P16" s="18">
        <v>50000</v>
      </c>
      <c r="Q16" s="18">
        <v>5204.5200000000004</v>
      </c>
      <c r="R16" s="19">
        <v>15000</v>
      </c>
      <c r="S16" s="23">
        <v>9000</v>
      </c>
      <c r="T16" s="23">
        <v>2500</v>
      </c>
      <c r="U16" s="44"/>
      <c r="V16" s="17">
        <f t="shared" si="0"/>
        <v>91812.92</v>
      </c>
      <c r="W16" s="17">
        <f t="shared" si="1"/>
        <v>147017.43999999997</v>
      </c>
      <c r="X16" s="20">
        <f t="shared" si="2"/>
        <v>171017.43999999997</v>
      </c>
      <c r="Y16" s="34">
        <f t="shared" si="3"/>
        <v>29493.849999999977</v>
      </c>
      <c r="Z16" s="17"/>
    </row>
    <row r="17" spans="1:29">
      <c r="A17" s="4">
        <v>45921</v>
      </c>
      <c r="B17" s="42">
        <v>0</v>
      </c>
      <c r="C17" s="42">
        <v>-1302.51</v>
      </c>
      <c r="D17" s="42">
        <v>-15.5</v>
      </c>
      <c r="E17" s="42">
        <v>-47.3</v>
      </c>
      <c r="F17" s="42">
        <v>-3380.07</v>
      </c>
      <c r="G17" s="17">
        <v>9.9</v>
      </c>
      <c r="H17" s="17">
        <v>77.319999999999993</v>
      </c>
      <c r="I17" s="17">
        <v>2385.85</v>
      </c>
      <c r="J17" s="17">
        <v>3000.25</v>
      </c>
      <c r="K17" s="17">
        <v>6001.74</v>
      </c>
      <c r="L17" s="17">
        <v>0.12</v>
      </c>
      <c r="M17" s="17">
        <v>29091.62</v>
      </c>
      <c r="N17" s="17">
        <v>3091.64</v>
      </c>
      <c r="O17" s="17">
        <v>38510.07</v>
      </c>
      <c r="P17" s="18">
        <v>50000</v>
      </c>
      <c r="Q17" s="18">
        <v>5204.5200000000004</v>
      </c>
      <c r="R17" s="19">
        <v>30000</v>
      </c>
      <c r="S17" s="23">
        <v>9000</v>
      </c>
      <c r="T17" s="23">
        <v>2500</v>
      </c>
      <c r="U17" s="44"/>
      <c r="V17" s="17">
        <f t="shared" si="0"/>
        <v>77423.13</v>
      </c>
      <c r="W17" s="17">
        <f t="shared" si="1"/>
        <v>132627.65</v>
      </c>
      <c r="X17" s="20">
        <f t="shared" si="2"/>
        <v>171627.65</v>
      </c>
      <c r="Y17" s="34">
        <f t="shared" si="3"/>
        <v>30104.059999999998</v>
      </c>
      <c r="Z17" s="17"/>
    </row>
    <row r="18" spans="1:29">
      <c r="A18" s="4">
        <v>45928</v>
      </c>
      <c r="B18" s="42">
        <v>0</v>
      </c>
      <c r="C18" s="42">
        <v>-1302.51</v>
      </c>
      <c r="D18" s="42">
        <v>-15.5</v>
      </c>
      <c r="E18" s="42">
        <v>-47.3</v>
      </c>
      <c r="F18" s="42">
        <v>-3380.07</v>
      </c>
      <c r="G18" s="17">
        <v>9.9</v>
      </c>
      <c r="H18" s="17">
        <v>771.17</v>
      </c>
      <c r="I18" s="17">
        <v>2258.9499999999998</v>
      </c>
      <c r="J18" s="17">
        <v>17000.25</v>
      </c>
      <c r="K18" s="17">
        <v>12001.74</v>
      </c>
      <c r="L18" s="17">
        <v>0.12</v>
      </c>
      <c r="M18" s="17">
        <v>14091.619999999999</v>
      </c>
      <c r="N18" s="17">
        <v>6091.64</v>
      </c>
      <c r="O18" s="17">
        <v>20491.07</v>
      </c>
      <c r="P18" s="18">
        <v>50000</v>
      </c>
      <c r="Q18" s="18">
        <v>5204.5200000000004</v>
      </c>
      <c r="R18" s="19">
        <v>50000</v>
      </c>
      <c r="S18" s="23">
        <v>0</v>
      </c>
      <c r="T18" s="23">
        <v>2500</v>
      </c>
      <c r="U18" s="44"/>
      <c r="V18" s="17">
        <f t="shared" si="0"/>
        <v>67971.079999999987</v>
      </c>
      <c r="W18" s="17">
        <f t="shared" si="1"/>
        <v>123175.59999999999</v>
      </c>
      <c r="X18" s="20">
        <f t="shared" si="2"/>
        <v>173175.59999999998</v>
      </c>
      <c r="Y18" s="34">
        <f t="shared" si="3"/>
        <v>31652.00999999998</v>
      </c>
      <c r="Z18" s="17"/>
    </row>
    <row r="19" spans="1:29" s="21" customFormat="1">
      <c r="A19" s="22">
        <v>45930</v>
      </c>
      <c r="B19" s="43">
        <v>0</v>
      </c>
      <c r="C19" s="43">
        <v>-1302.51</v>
      </c>
      <c r="D19" s="43">
        <v>-15.5</v>
      </c>
      <c r="E19" s="43">
        <v>-47.3</v>
      </c>
      <c r="F19" s="43">
        <v>-3380.07</v>
      </c>
      <c r="G19" s="27">
        <v>9.9</v>
      </c>
      <c r="H19" s="27">
        <v>739.86</v>
      </c>
      <c r="I19" s="27">
        <v>2039.99</v>
      </c>
      <c r="J19" s="27">
        <v>17000.25</v>
      </c>
      <c r="K19" s="27">
        <v>15001.74</v>
      </c>
      <c r="L19" s="27">
        <v>0.12</v>
      </c>
      <c r="M19" s="27">
        <v>5091.62</v>
      </c>
      <c r="N19" s="27">
        <v>12091.64</v>
      </c>
      <c r="O19" s="27">
        <v>20492.419999999998</v>
      </c>
      <c r="P19" s="28">
        <v>50000</v>
      </c>
      <c r="Q19" s="28">
        <v>5204.5200000000004</v>
      </c>
      <c r="R19" s="29">
        <v>50000</v>
      </c>
      <c r="S19" s="30">
        <v>0</v>
      </c>
      <c r="T19" s="30">
        <v>2500</v>
      </c>
      <c r="U19" s="45"/>
      <c r="V19" s="27">
        <f t="shared" si="0"/>
        <v>67722.16</v>
      </c>
      <c r="W19" s="27">
        <f t="shared" si="1"/>
        <v>122926.68000000001</v>
      </c>
      <c r="X19" s="31">
        <f t="shared" si="2"/>
        <v>172926.68</v>
      </c>
      <c r="Y19" s="27">
        <f t="shared" si="3"/>
        <v>31403.089999999997</v>
      </c>
      <c r="Z19" s="27"/>
      <c r="AA19" s="27"/>
    </row>
    <row r="20" spans="1:29">
      <c r="A20" s="4">
        <v>45935</v>
      </c>
      <c r="B20" s="42">
        <v>0</v>
      </c>
      <c r="C20" s="42">
        <v>-1302.51</v>
      </c>
      <c r="D20" s="42">
        <v>-15.5</v>
      </c>
      <c r="E20" s="42">
        <v>-47.3</v>
      </c>
      <c r="F20" s="42">
        <v>-3380.07</v>
      </c>
      <c r="G20" s="17">
        <v>0</v>
      </c>
      <c r="H20" s="17">
        <v>2994.46</v>
      </c>
      <c r="I20" s="17">
        <v>16778.29</v>
      </c>
      <c r="J20" s="17">
        <v>10000.25</v>
      </c>
      <c r="K20" s="17">
        <v>10001.74</v>
      </c>
      <c r="L20" s="17">
        <v>0.12</v>
      </c>
      <c r="M20" s="17">
        <v>0</v>
      </c>
      <c r="N20" s="17">
        <v>3183.26</v>
      </c>
      <c r="O20" s="17">
        <v>26197.31</v>
      </c>
      <c r="P20" s="18">
        <v>50000</v>
      </c>
      <c r="Q20" s="18">
        <v>5204.5200000000004</v>
      </c>
      <c r="R20" s="19">
        <v>50000</v>
      </c>
      <c r="S20" s="23">
        <v>0</v>
      </c>
      <c r="T20" s="23">
        <v>2500</v>
      </c>
      <c r="U20" s="44"/>
      <c r="V20" s="17">
        <f t="shared" si="0"/>
        <v>64410.05</v>
      </c>
      <c r="W20" s="17">
        <f t="shared" si="1"/>
        <v>119614.57</v>
      </c>
      <c r="X20" s="20">
        <f t="shared" si="2"/>
        <v>169614.57</v>
      </c>
      <c r="Y20" s="34">
        <f t="shared" si="3"/>
        <v>28090.98000000001</v>
      </c>
      <c r="Z20" s="17"/>
    </row>
    <row r="21" spans="1:29">
      <c r="A21" s="4">
        <v>45941</v>
      </c>
      <c r="B21" s="42">
        <v>-1.8</v>
      </c>
      <c r="C21" s="42">
        <v>-1553.57</v>
      </c>
      <c r="D21" s="42">
        <v>0</v>
      </c>
      <c r="E21" s="42">
        <v>-97</v>
      </c>
      <c r="F21" s="42">
        <v>-2551.6</v>
      </c>
      <c r="G21" s="17">
        <v>0</v>
      </c>
      <c r="H21" s="17">
        <v>2676.84</v>
      </c>
      <c r="I21" s="17">
        <v>16031.06</v>
      </c>
      <c r="J21" s="17">
        <v>8108.98</v>
      </c>
      <c r="K21" s="17">
        <v>10001.74</v>
      </c>
      <c r="L21" s="17">
        <v>0.12</v>
      </c>
      <c r="M21" s="17">
        <v>0</v>
      </c>
      <c r="N21" s="17">
        <v>3183.26</v>
      </c>
      <c r="O21" s="17">
        <v>31196.799999999999</v>
      </c>
      <c r="P21" s="18">
        <v>50000</v>
      </c>
      <c r="Q21" s="18">
        <v>5204.5200000000004</v>
      </c>
      <c r="R21" s="19">
        <v>47000</v>
      </c>
      <c r="S21" s="23">
        <v>0</v>
      </c>
      <c r="T21" s="23">
        <v>2500</v>
      </c>
      <c r="U21" s="44"/>
      <c r="V21" s="17">
        <f t="shared" si="0"/>
        <v>66994.83</v>
      </c>
      <c r="W21" s="17">
        <f t="shared" si="1"/>
        <v>122199.35</v>
      </c>
      <c r="X21" s="20">
        <f t="shared" si="2"/>
        <v>169199.35</v>
      </c>
      <c r="Y21" s="34">
        <f t="shared" si="3"/>
        <v>27675.760000000009</v>
      </c>
      <c r="Z21" s="17"/>
    </row>
    <row r="22" spans="1:29">
      <c r="A22" s="4">
        <v>45947</v>
      </c>
      <c r="B22" s="42">
        <v>-20.6</v>
      </c>
      <c r="C22" s="42">
        <v>-1315.51</v>
      </c>
      <c r="D22" s="42">
        <v>0</v>
      </c>
      <c r="E22" s="42">
        <v>-295.99</v>
      </c>
      <c r="F22" s="42">
        <v>-2551.6</v>
      </c>
      <c r="G22" s="17">
        <v>0.3</v>
      </c>
      <c r="H22" s="17">
        <v>2322.71</v>
      </c>
      <c r="I22" s="17">
        <v>10702.68</v>
      </c>
      <c r="J22" s="17">
        <v>26148.07</v>
      </c>
      <c r="K22" s="17">
        <v>3001.74</v>
      </c>
      <c r="L22" s="17">
        <v>0.12</v>
      </c>
      <c r="M22" s="17">
        <v>35120.25</v>
      </c>
      <c r="N22" s="17">
        <v>9183.26</v>
      </c>
      <c r="O22" s="17">
        <v>26203.59</v>
      </c>
      <c r="P22" s="18">
        <v>0</v>
      </c>
      <c r="Q22" s="18">
        <v>5204.5200000000004</v>
      </c>
      <c r="R22" s="19">
        <v>56000</v>
      </c>
      <c r="S22" s="23">
        <v>0</v>
      </c>
      <c r="T22" s="23">
        <v>2500</v>
      </c>
      <c r="U22" s="44"/>
      <c r="V22" s="17">
        <f t="shared" si="0"/>
        <v>108499.01999999999</v>
      </c>
      <c r="W22" s="17">
        <f t="shared" si="1"/>
        <v>113703.54</v>
      </c>
      <c r="X22" s="20">
        <f t="shared" si="2"/>
        <v>169703.53999999998</v>
      </c>
      <c r="Y22" s="34">
        <f t="shared" si="3"/>
        <v>28179.949999999983</v>
      </c>
      <c r="Z22" s="17"/>
    </row>
    <row r="23" spans="1:29">
      <c r="A23" s="4">
        <v>45954</v>
      </c>
      <c r="B23" s="42">
        <v>-18.8</v>
      </c>
      <c r="C23" s="42">
        <v>-1129.92</v>
      </c>
      <c r="D23" s="42">
        <v>-83</v>
      </c>
      <c r="E23" s="42">
        <v>-295.99</v>
      </c>
      <c r="F23" s="42">
        <v>-2551.6</v>
      </c>
      <c r="G23" s="17">
        <v>0.3</v>
      </c>
      <c r="H23" s="17">
        <v>232.06</v>
      </c>
      <c r="I23" s="17">
        <v>10666.05</v>
      </c>
      <c r="J23" s="17">
        <v>2148.0700000000002</v>
      </c>
      <c r="K23" s="17">
        <v>1001.74</v>
      </c>
      <c r="L23" s="17">
        <v>0.12</v>
      </c>
      <c r="M23" s="17">
        <v>17120.25</v>
      </c>
      <c r="N23" s="17">
        <v>18183.259999999998</v>
      </c>
      <c r="O23" s="17">
        <v>26024.31</v>
      </c>
      <c r="P23" s="18">
        <v>0</v>
      </c>
      <c r="Q23" s="18">
        <v>5204.5200000000004</v>
      </c>
      <c r="R23" s="35">
        <v>91000</v>
      </c>
      <c r="S23" s="23">
        <v>0</v>
      </c>
      <c r="T23" s="23">
        <v>2500</v>
      </c>
      <c r="U23" s="44"/>
      <c r="V23" s="17">
        <f t="shared" si="0"/>
        <v>71296.849999999991</v>
      </c>
      <c r="W23" s="17">
        <f t="shared" si="1"/>
        <v>76501.37</v>
      </c>
      <c r="X23" s="20">
        <f t="shared" si="2"/>
        <v>167501.37</v>
      </c>
      <c r="Y23" s="34">
        <f t="shared" si="3"/>
        <v>25977.78</v>
      </c>
      <c r="Z23" s="17"/>
      <c r="AC23" s="17"/>
    </row>
    <row r="24" spans="1:29">
      <c r="A24" s="4">
        <v>45959</v>
      </c>
      <c r="B24" s="42">
        <v>-19.8</v>
      </c>
      <c r="C24" s="42">
        <v>-1129.92</v>
      </c>
      <c r="D24" s="42">
        <v>-83</v>
      </c>
      <c r="E24" s="42">
        <v>-295.99</v>
      </c>
      <c r="F24" s="42">
        <v>-2551.6</v>
      </c>
      <c r="G24" s="17">
        <v>0.3</v>
      </c>
      <c r="H24" s="17">
        <v>84.7</v>
      </c>
      <c r="I24" s="17">
        <v>17013.29</v>
      </c>
      <c r="J24" s="17">
        <v>30110.35</v>
      </c>
      <c r="K24" s="17">
        <v>1001.74</v>
      </c>
      <c r="L24" s="17">
        <v>0.12</v>
      </c>
      <c r="M24" s="17">
        <v>14120.25</v>
      </c>
      <c r="N24" s="17">
        <v>21183.26</v>
      </c>
      <c r="O24" s="17">
        <v>25928.68</v>
      </c>
      <c r="P24" s="18">
        <v>0</v>
      </c>
      <c r="Q24" s="18">
        <v>5204.5200000000004</v>
      </c>
      <c r="R24" s="11">
        <v>54335.85</v>
      </c>
      <c r="S24" s="23">
        <v>0</v>
      </c>
      <c r="T24" s="23">
        <v>2500</v>
      </c>
      <c r="U24" s="44"/>
      <c r="V24" s="17">
        <f t="shared" si="0"/>
        <v>105362.38</v>
      </c>
      <c r="W24" s="17">
        <f t="shared" si="1"/>
        <v>110566.90000000001</v>
      </c>
      <c r="X24" s="20">
        <f t="shared" si="2"/>
        <v>164902.75</v>
      </c>
      <c r="Y24" s="34">
        <f t="shared" si="3"/>
        <v>23379.160000000003</v>
      </c>
      <c r="Z24" s="17"/>
    </row>
    <row r="25" spans="1:29" s="21" customFormat="1">
      <c r="A25" s="22">
        <v>45961</v>
      </c>
      <c r="B25" s="43">
        <v>-19.8</v>
      </c>
      <c r="C25" s="43">
        <v>-1129.92</v>
      </c>
      <c r="D25" s="43">
        <v>-83</v>
      </c>
      <c r="E25" s="43">
        <v>-295.99</v>
      </c>
      <c r="F25" s="43">
        <v>-2551.6</v>
      </c>
      <c r="G25" s="27">
        <v>0.3</v>
      </c>
      <c r="H25" s="27">
        <v>50.1</v>
      </c>
      <c r="I25" s="27">
        <v>17011.61</v>
      </c>
      <c r="J25" s="21">
        <v>2148.0699999999997</v>
      </c>
      <c r="K25" s="27">
        <v>1001.74</v>
      </c>
      <c r="L25" s="27">
        <v>0.12</v>
      </c>
      <c r="M25" s="27">
        <v>14120.25</v>
      </c>
      <c r="N25" s="27">
        <v>21183.26</v>
      </c>
      <c r="O25" s="27">
        <v>25930.47</v>
      </c>
      <c r="P25" s="28">
        <v>0</v>
      </c>
      <c r="Q25" s="28">
        <v>5204.5200000000004</v>
      </c>
      <c r="R25" s="40">
        <v>85000</v>
      </c>
      <c r="S25" s="30">
        <v>0</v>
      </c>
      <c r="T25" s="30">
        <v>2500</v>
      </c>
      <c r="U25" s="45"/>
      <c r="V25" s="27">
        <f t="shared" si="0"/>
        <v>77365.61</v>
      </c>
      <c r="W25" s="27">
        <f t="shared" si="1"/>
        <v>82570.13</v>
      </c>
      <c r="X25" s="31">
        <f t="shared" si="2"/>
        <v>167570.13</v>
      </c>
      <c r="Y25" s="27">
        <f t="shared" ref="Y25:Y27" si="4">X25-$AE$4</f>
        <v>26046.540000000008</v>
      </c>
      <c r="Z25" s="27"/>
      <c r="AA25" s="27"/>
      <c r="AC25" s="27"/>
    </row>
    <row r="26" spans="1:29">
      <c r="A26" s="4">
        <v>45970</v>
      </c>
      <c r="B26" s="42">
        <v>-19.8</v>
      </c>
      <c r="C26" s="42">
        <v>-1129.92</v>
      </c>
      <c r="D26" s="42">
        <v>0</v>
      </c>
      <c r="E26" s="42">
        <v>0</v>
      </c>
      <c r="F26" s="42">
        <v>-1713.09</v>
      </c>
      <c r="G26" s="17">
        <v>0.3</v>
      </c>
      <c r="H26" s="17">
        <v>669.37</v>
      </c>
      <c r="I26" s="17">
        <v>7012.78</v>
      </c>
      <c r="J26" s="17">
        <v>930.57</v>
      </c>
      <c r="K26" s="17">
        <v>1001.74</v>
      </c>
      <c r="L26" s="17">
        <v>0.12</v>
      </c>
      <c r="M26" s="17">
        <v>14120.25</v>
      </c>
      <c r="N26" s="17">
        <v>21183.26</v>
      </c>
      <c r="O26" s="17">
        <v>31460.48</v>
      </c>
      <c r="P26" s="18">
        <v>0</v>
      </c>
      <c r="Q26" s="18">
        <v>5204.5200000000004</v>
      </c>
      <c r="R26" s="35">
        <v>85000</v>
      </c>
      <c r="S26" s="23">
        <v>10000</v>
      </c>
      <c r="T26" s="23">
        <v>2500</v>
      </c>
      <c r="U26" s="46">
        <v>-2717.5699999999997</v>
      </c>
      <c r="V26" s="17">
        <f t="shared" si="0"/>
        <v>73516.06</v>
      </c>
      <c r="W26" s="17">
        <f t="shared" si="1"/>
        <v>78720.58</v>
      </c>
      <c r="X26" s="20">
        <f t="shared" si="2"/>
        <v>173720.58000000002</v>
      </c>
      <c r="Y26" s="34">
        <f t="shared" si="4"/>
        <v>32196.99000000002</v>
      </c>
      <c r="Z26" s="35">
        <f t="shared" ref="Z26:Z38" si="5">SUM(B26:S26,U26)</f>
        <v>171003.01</v>
      </c>
    </row>
    <row r="27" spans="1:29">
      <c r="A27" s="4">
        <v>45978</v>
      </c>
      <c r="B27" s="42">
        <v>-22.8</v>
      </c>
      <c r="C27" s="42">
        <v>-1129.92</v>
      </c>
      <c r="D27" s="42">
        <v>0</v>
      </c>
      <c r="E27" s="42">
        <v>-17.8</v>
      </c>
      <c r="F27" s="42">
        <v>-1713.09</v>
      </c>
      <c r="G27" s="17">
        <v>0.3</v>
      </c>
      <c r="H27" s="17">
        <v>388.31</v>
      </c>
      <c r="I27" s="17">
        <v>6742.57</v>
      </c>
      <c r="J27" s="17">
        <v>930.57</v>
      </c>
      <c r="K27" s="17">
        <v>4001.74</v>
      </c>
      <c r="L27" s="17">
        <v>0.12</v>
      </c>
      <c r="M27" s="17">
        <v>11120.25</v>
      </c>
      <c r="N27" s="17">
        <v>21183.26</v>
      </c>
      <c r="O27" s="17">
        <v>31472.080000000002</v>
      </c>
      <c r="P27" s="18">
        <v>0</v>
      </c>
      <c r="Q27" s="18">
        <v>5204.5200000000004</v>
      </c>
      <c r="R27" s="35">
        <v>85000</v>
      </c>
      <c r="S27" s="23">
        <v>10000</v>
      </c>
      <c r="T27" s="23">
        <v>2500</v>
      </c>
      <c r="U27" s="46">
        <v>-2422.7100000000046</v>
      </c>
      <c r="V27" s="17">
        <f t="shared" si="0"/>
        <v>72955.59</v>
      </c>
      <c r="W27" s="17">
        <f t="shared" si="1"/>
        <v>78160.11</v>
      </c>
      <c r="X27" s="20">
        <f t="shared" si="2"/>
        <v>173160.11</v>
      </c>
      <c r="Y27" s="34">
        <f t="shared" si="4"/>
        <v>31636.51999999999</v>
      </c>
      <c r="Z27" s="35">
        <f t="shared" si="5"/>
        <v>170737.4</v>
      </c>
    </row>
    <row r="28" spans="1:29">
      <c r="A28" s="4">
        <v>45983</v>
      </c>
      <c r="B28" s="42">
        <v>-25.69</v>
      </c>
      <c r="C28" s="42">
        <v>-978.53</v>
      </c>
      <c r="D28" s="42">
        <v>0</v>
      </c>
      <c r="E28" s="42">
        <v>-17.8</v>
      </c>
      <c r="F28" s="42">
        <v>-1713.09</v>
      </c>
      <c r="G28" s="17">
        <v>0</v>
      </c>
      <c r="H28" s="17">
        <v>252.95</v>
      </c>
      <c r="I28" s="17">
        <v>6716.87</v>
      </c>
      <c r="J28" s="17">
        <v>930.57</v>
      </c>
      <c r="K28" s="17">
        <v>4001.74</v>
      </c>
      <c r="L28" s="17">
        <v>0.12</v>
      </c>
      <c r="M28" s="17">
        <v>11120.25</v>
      </c>
      <c r="N28" s="17">
        <v>21183.26</v>
      </c>
      <c r="O28" s="17">
        <v>31325.279999999999</v>
      </c>
      <c r="P28" s="18">
        <v>0</v>
      </c>
      <c r="Q28" s="18">
        <v>5204.5200000000004</v>
      </c>
      <c r="R28" s="35">
        <v>85000</v>
      </c>
      <c r="S28" s="23">
        <v>10000</v>
      </c>
      <c r="T28" s="23">
        <v>2500</v>
      </c>
      <c r="U28" s="46">
        <v>-2569.4400000000032</v>
      </c>
      <c r="V28" s="17">
        <f t="shared" si="0"/>
        <v>72795.929999999993</v>
      </c>
      <c r="W28" s="17">
        <f t="shared" ref="W28:W38" si="6">SUM(B28:Q28)</f>
        <v>78000.45</v>
      </c>
      <c r="X28" s="20">
        <f t="shared" ref="X28:X38" si="7">SUM(B28:S28)</f>
        <v>173000.45</v>
      </c>
      <c r="Y28" s="34">
        <f t="shared" ref="Y28:Y38" si="8">X28-$AE$4</f>
        <v>31476.860000000015</v>
      </c>
      <c r="Z28" s="35">
        <f t="shared" si="5"/>
        <v>170431.01</v>
      </c>
      <c r="AA28" s="35">
        <f t="shared" ref="AA28:AA38" si="9">Z28-$AE$4</f>
        <v>28907.420000000013</v>
      </c>
    </row>
    <row r="29" spans="1:29">
      <c r="A29" s="4">
        <v>45989</v>
      </c>
      <c r="B29" s="42">
        <v>-876.68</v>
      </c>
      <c r="C29" s="42">
        <v>-1014.41</v>
      </c>
      <c r="D29" s="42">
        <v>-9.59</v>
      </c>
      <c r="E29" s="42">
        <v>-17.8</v>
      </c>
      <c r="F29" s="42">
        <v>-1713.09</v>
      </c>
      <c r="G29" s="17">
        <v>0</v>
      </c>
      <c r="H29" s="17">
        <v>61.61</v>
      </c>
      <c r="I29" s="17">
        <v>11537.32</v>
      </c>
      <c r="J29" s="17">
        <v>930.57</v>
      </c>
      <c r="K29" s="17">
        <v>4001.74</v>
      </c>
      <c r="L29" s="17">
        <v>0.12</v>
      </c>
      <c r="M29" s="17">
        <v>11120.25</v>
      </c>
      <c r="N29" s="17">
        <v>21183.26</v>
      </c>
      <c r="O29" s="17">
        <v>26232.65</v>
      </c>
      <c r="P29" s="18">
        <v>0</v>
      </c>
      <c r="Q29" s="18">
        <v>5204.5200000000004</v>
      </c>
      <c r="R29" s="35">
        <v>80000</v>
      </c>
      <c r="S29" s="23">
        <v>10000</v>
      </c>
      <c r="T29" s="23">
        <v>2500</v>
      </c>
      <c r="U29" s="46">
        <v>-2178.7100000000028</v>
      </c>
      <c r="V29" s="17">
        <f t="shared" si="0"/>
        <v>71435.950000000012</v>
      </c>
      <c r="W29" s="17">
        <f t="shared" si="6"/>
        <v>76640.470000000016</v>
      </c>
      <c r="X29" s="20">
        <f t="shared" si="7"/>
        <v>166640.47000000003</v>
      </c>
      <c r="Y29" s="34">
        <f t="shared" si="8"/>
        <v>25116.880000000034</v>
      </c>
      <c r="Z29" s="35">
        <f t="shared" si="5"/>
        <v>164461.76000000004</v>
      </c>
      <c r="AA29" s="35">
        <f t="shared" si="9"/>
        <v>22938.170000000042</v>
      </c>
    </row>
    <row r="30" spans="1:29">
      <c r="A30" s="4">
        <v>45993</v>
      </c>
      <c r="B30" s="42">
        <v>-896.69</v>
      </c>
      <c r="C30" s="42">
        <v>-1173.7</v>
      </c>
      <c r="D30" s="42">
        <v>-9.59</v>
      </c>
      <c r="E30" s="42">
        <v>-17.8</v>
      </c>
      <c r="F30" s="42">
        <v>-1713.09</v>
      </c>
      <c r="G30" s="17">
        <v>0</v>
      </c>
      <c r="H30" s="17">
        <v>2215.11</v>
      </c>
      <c r="I30" s="17">
        <v>11216.3</v>
      </c>
      <c r="J30" s="17">
        <v>0</v>
      </c>
      <c r="K30" s="17">
        <v>4932.3100000000004</v>
      </c>
      <c r="L30" s="17">
        <v>0.12</v>
      </c>
      <c r="M30" s="17">
        <v>11120.25</v>
      </c>
      <c r="N30" s="17">
        <v>21183.26</v>
      </c>
      <c r="O30" s="17">
        <v>26207.81</v>
      </c>
      <c r="P30" s="18">
        <v>0</v>
      </c>
      <c r="Q30" s="18">
        <v>5204.5200000000004</v>
      </c>
      <c r="R30" s="35">
        <v>80000</v>
      </c>
      <c r="S30" s="23">
        <v>7000</v>
      </c>
      <c r="T30" s="23">
        <v>2500</v>
      </c>
      <c r="U30" s="46">
        <v>-2083.5400000000027</v>
      </c>
      <c r="V30" s="17">
        <f t="shared" si="0"/>
        <v>73064.289999999994</v>
      </c>
      <c r="W30" s="17">
        <f t="shared" si="6"/>
        <v>78268.81</v>
      </c>
      <c r="X30" s="20">
        <f t="shared" si="7"/>
        <v>165268.81</v>
      </c>
      <c r="Y30" s="34">
        <f t="shared" si="8"/>
        <v>23745.22</v>
      </c>
      <c r="Z30" s="35">
        <f t="shared" si="5"/>
        <v>163185.26999999999</v>
      </c>
      <c r="AA30" s="35">
        <f t="shared" si="9"/>
        <v>21661.679999999993</v>
      </c>
    </row>
    <row r="31" spans="1:29">
      <c r="A31" s="4">
        <v>45996</v>
      </c>
      <c r="B31" s="42">
        <v>-897.29</v>
      </c>
      <c r="C31" s="42">
        <v>-1173.7</v>
      </c>
      <c r="D31" s="42">
        <v>-9.59</v>
      </c>
      <c r="E31" s="42">
        <v>-17.8</v>
      </c>
      <c r="F31" s="42">
        <v>-1713.09</v>
      </c>
      <c r="G31" s="17">
        <v>0</v>
      </c>
      <c r="H31" s="17">
        <v>2120.23</v>
      </c>
      <c r="I31" s="20">
        <v>11214.87</v>
      </c>
      <c r="J31" s="17">
        <v>0</v>
      </c>
      <c r="K31" s="17">
        <v>4932.3100000000004</v>
      </c>
      <c r="L31" s="17">
        <v>0.12</v>
      </c>
      <c r="M31" s="17">
        <v>11120.25</v>
      </c>
      <c r="N31" s="17">
        <v>21183.26</v>
      </c>
      <c r="O31" s="17">
        <v>33389.15</v>
      </c>
      <c r="P31" s="18">
        <v>0</v>
      </c>
      <c r="Q31" s="18">
        <v>5204.5200000000004</v>
      </c>
      <c r="R31" s="35">
        <v>80000</v>
      </c>
      <c r="S31" s="23">
        <v>7000</v>
      </c>
      <c r="T31" s="23">
        <v>2500</v>
      </c>
      <c r="U31" s="46">
        <v>-2081.75</v>
      </c>
      <c r="V31" s="17">
        <f t="shared" si="0"/>
        <v>80148.72</v>
      </c>
      <c r="W31" s="17">
        <f t="shared" si="6"/>
        <v>85353.24</v>
      </c>
      <c r="X31" s="20">
        <f t="shared" si="7"/>
        <v>172353.24</v>
      </c>
      <c r="Y31" s="34">
        <f t="shared" si="8"/>
        <v>30829.649999999994</v>
      </c>
      <c r="Z31" s="35">
        <f t="shared" si="5"/>
        <v>170271.49</v>
      </c>
      <c r="AA31" s="35">
        <f t="shared" si="9"/>
        <v>28747.899999999994</v>
      </c>
    </row>
    <row r="32" spans="1:29">
      <c r="A32" s="4">
        <v>46000</v>
      </c>
      <c r="B32" s="42">
        <v>-970.42</v>
      </c>
      <c r="C32" s="42">
        <v>-6837.49</v>
      </c>
      <c r="D32" s="42">
        <v>0</v>
      </c>
      <c r="E32" s="42">
        <v>0</v>
      </c>
      <c r="F32" s="42">
        <v>-862.11</v>
      </c>
      <c r="G32" s="17">
        <v>0</v>
      </c>
      <c r="H32" s="17">
        <v>1954.06</v>
      </c>
      <c r="I32" s="17">
        <v>8060.91</v>
      </c>
      <c r="J32" s="17">
        <v>2121.63</v>
      </c>
      <c r="K32" s="17">
        <v>4932.3100000000004</v>
      </c>
      <c r="L32" s="17">
        <v>0.12</v>
      </c>
      <c r="M32" s="17">
        <v>8120.25</v>
      </c>
      <c r="N32" s="17">
        <v>21183.26</v>
      </c>
      <c r="O32" s="17">
        <v>33392.620000000003</v>
      </c>
      <c r="P32" s="18">
        <v>0</v>
      </c>
      <c r="Q32" s="18">
        <v>5204.5200000000004</v>
      </c>
      <c r="R32" s="35">
        <v>80000</v>
      </c>
      <c r="S32" s="23">
        <v>10000</v>
      </c>
      <c r="T32" s="23">
        <v>2500</v>
      </c>
      <c r="U32" s="46">
        <v>-2086.4300000000021</v>
      </c>
      <c r="V32" s="17">
        <f t="shared" si="0"/>
        <v>71095.140000000014</v>
      </c>
      <c r="W32" s="17">
        <f t="shared" si="6"/>
        <v>76299.660000000018</v>
      </c>
      <c r="X32" s="20">
        <f t="shared" si="7"/>
        <v>166299.66000000003</v>
      </c>
      <c r="Y32" s="34">
        <f t="shared" si="8"/>
        <v>24776.070000000036</v>
      </c>
      <c r="Z32" s="35">
        <f t="shared" si="5"/>
        <v>164213.23000000004</v>
      </c>
      <c r="AA32" s="35">
        <f t="shared" si="9"/>
        <v>22689.640000000043</v>
      </c>
    </row>
    <row r="33" spans="1:27">
      <c r="A33" s="4">
        <v>46004</v>
      </c>
      <c r="B33" s="42">
        <v>-1030.06</v>
      </c>
      <c r="C33" s="42">
        <v>-7283.09</v>
      </c>
      <c r="D33" s="42">
        <v>0</v>
      </c>
      <c r="E33" s="42">
        <v>0</v>
      </c>
      <c r="F33" s="42">
        <v>-862.11</v>
      </c>
      <c r="G33" s="17">
        <v>0</v>
      </c>
      <c r="H33" s="17">
        <v>1896.82</v>
      </c>
      <c r="I33" s="20">
        <v>8017.73</v>
      </c>
      <c r="J33" s="17">
        <v>2121.63</v>
      </c>
      <c r="K33" s="17">
        <v>4932.3100000000004</v>
      </c>
      <c r="L33" s="17">
        <v>0.12</v>
      </c>
      <c r="M33" s="17">
        <v>8120.25</v>
      </c>
      <c r="N33" s="17">
        <v>21183.26</v>
      </c>
      <c r="O33" s="17">
        <v>33396.33</v>
      </c>
      <c r="P33" s="18">
        <v>0</v>
      </c>
      <c r="Q33" s="18">
        <v>5204.5200000000004</v>
      </c>
      <c r="R33" s="35">
        <v>80000</v>
      </c>
      <c r="S33" s="23">
        <v>10000</v>
      </c>
      <c r="T33" s="23">
        <v>2500</v>
      </c>
      <c r="U33" s="47">
        <v>-2042.630000000001</v>
      </c>
      <c r="V33" s="17">
        <f t="shared" si="0"/>
        <v>70493.19</v>
      </c>
      <c r="W33" s="17">
        <f t="shared" si="6"/>
        <v>75697.710000000006</v>
      </c>
      <c r="X33" s="20">
        <f t="shared" si="7"/>
        <v>165697.71000000002</v>
      </c>
      <c r="Y33" s="34">
        <f t="shared" si="8"/>
        <v>24174.120000000024</v>
      </c>
      <c r="Z33" s="35">
        <f t="shared" si="5"/>
        <v>163655.08000000002</v>
      </c>
      <c r="AA33" s="35">
        <f t="shared" si="9"/>
        <v>22131.49000000002</v>
      </c>
    </row>
    <row r="34" spans="1:27">
      <c r="A34" s="4">
        <v>46005</v>
      </c>
      <c r="B34" s="42">
        <v>-1030.06</v>
      </c>
      <c r="C34" s="42">
        <v>-7283.09</v>
      </c>
      <c r="D34" s="42">
        <v>0</v>
      </c>
      <c r="E34" s="42">
        <v>0</v>
      </c>
      <c r="F34" s="42">
        <v>-862.11</v>
      </c>
      <c r="G34" s="17">
        <v>0</v>
      </c>
      <c r="H34" s="17">
        <v>1865.35</v>
      </c>
      <c r="I34" s="17">
        <v>8017.95</v>
      </c>
      <c r="J34" s="17">
        <v>2121.63</v>
      </c>
      <c r="K34" s="17">
        <v>12932.43</v>
      </c>
      <c r="L34" s="17">
        <v>0</v>
      </c>
      <c r="M34" s="17">
        <v>5120.25</v>
      </c>
      <c r="N34" s="17">
        <v>16183.26</v>
      </c>
      <c r="O34" s="17">
        <v>33396.33</v>
      </c>
      <c r="P34" s="18">
        <v>0</v>
      </c>
      <c r="Q34" s="18">
        <v>5204.5200000000004</v>
      </c>
      <c r="R34" s="35">
        <v>80000</v>
      </c>
      <c r="S34" s="23">
        <v>10000</v>
      </c>
      <c r="T34" s="23">
        <v>2500</v>
      </c>
      <c r="U34" s="47">
        <v>-2042.630000000001</v>
      </c>
      <c r="V34" s="17">
        <f t="shared" si="0"/>
        <v>70461.94</v>
      </c>
      <c r="W34" s="17">
        <f t="shared" si="6"/>
        <v>75666.460000000006</v>
      </c>
      <c r="X34" s="20">
        <f t="shared" si="7"/>
        <v>165666.46000000002</v>
      </c>
      <c r="Y34" s="34">
        <f t="shared" si="8"/>
        <v>24142.870000000024</v>
      </c>
      <c r="Z34" s="35">
        <f t="shared" si="5"/>
        <v>163623.83000000002</v>
      </c>
      <c r="AA34" s="35">
        <f t="shared" si="9"/>
        <v>22100.24000000002</v>
      </c>
    </row>
    <row r="35" spans="1:27">
      <c r="A35" s="4">
        <v>46018</v>
      </c>
      <c r="B35" s="42">
        <v>-145.80000000000001</v>
      </c>
      <c r="C35" s="42">
        <v>-5970.34</v>
      </c>
      <c r="D35" s="42">
        <v>0</v>
      </c>
      <c r="E35" s="42">
        <v>0</v>
      </c>
      <c r="F35" s="42">
        <v>-862.11</v>
      </c>
      <c r="G35" s="17">
        <v>0</v>
      </c>
      <c r="H35" s="17">
        <v>1417.54</v>
      </c>
      <c r="I35" s="20">
        <v>7041.62</v>
      </c>
      <c r="J35" s="17">
        <v>2121.63</v>
      </c>
      <c r="K35" s="17">
        <v>21213.16</v>
      </c>
      <c r="L35" s="17">
        <v>0</v>
      </c>
      <c r="M35" s="17">
        <v>2121.9499999999998</v>
      </c>
      <c r="N35" s="17">
        <v>16185.21</v>
      </c>
      <c r="O35" s="17">
        <v>29564.2</v>
      </c>
      <c r="P35" s="18">
        <v>0</v>
      </c>
      <c r="Q35" s="18">
        <v>5204.5200000000004</v>
      </c>
      <c r="R35" s="35">
        <v>80000</v>
      </c>
      <c r="S35" s="23">
        <v>10000</v>
      </c>
      <c r="T35" s="23">
        <v>0</v>
      </c>
      <c r="U35" s="47">
        <v>-946.82999999999993</v>
      </c>
      <c r="V35" s="17">
        <f t="shared" si="0"/>
        <v>72687.06</v>
      </c>
      <c r="W35" s="17">
        <f t="shared" si="6"/>
        <v>77891.58</v>
      </c>
      <c r="X35" s="20">
        <f t="shared" si="7"/>
        <v>167891.58000000002</v>
      </c>
      <c r="Y35" s="34">
        <f t="shared" si="8"/>
        <v>26367.99000000002</v>
      </c>
      <c r="Z35" s="35">
        <f t="shared" si="5"/>
        <v>166944.75000000003</v>
      </c>
      <c r="AA35" s="35">
        <f t="shared" si="9"/>
        <v>25421.160000000033</v>
      </c>
    </row>
    <row r="36" spans="1:27">
      <c r="A36" s="4">
        <v>46022</v>
      </c>
      <c r="B36" s="42">
        <v>-240.43</v>
      </c>
      <c r="C36" s="42">
        <v>-6022.74</v>
      </c>
      <c r="D36" s="42">
        <v>0</v>
      </c>
      <c r="E36" s="42">
        <v>0</v>
      </c>
      <c r="F36" s="42">
        <v>-862.11</v>
      </c>
      <c r="G36" s="17">
        <v>0</v>
      </c>
      <c r="H36" s="17">
        <v>1336.57</v>
      </c>
      <c r="I36" s="17">
        <v>6987.76</v>
      </c>
      <c r="J36" s="17">
        <v>2035.57</v>
      </c>
      <c r="K36" s="17">
        <v>23335.11</v>
      </c>
      <c r="L36" s="17">
        <v>0</v>
      </c>
      <c r="M36" s="17">
        <v>0</v>
      </c>
      <c r="N36" s="17">
        <v>16185.21</v>
      </c>
      <c r="O36" s="17">
        <v>24619.8</v>
      </c>
      <c r="P36" s="18">
        <v>0</v>
      </c>
      <c r="Q36" s="18">
        <v>5204.5200000000004</v>
      </c>
      <c r="R36" s="35">
        <v>85030.459999999992</v>
      </c>
      <c r="S36" s="23">
        <v>10000</v>
      </c>
      <c r="T36" s="23">
        <v>0</v>
      </c>
      <c r="U36" s="47">
        <v>-1400.0699999999997</v>
      </c>
      <c r="V36" s="17">
        <f t="shared" si="0"/>
        <v>67374.740000000005</v>
      </c>
      <c r="W36" s="17">
        <f t="shared" si="6"/>
        <v>72579.260000000009</v>
      </c>
      <c r="X36" s="20">
        <f t="shared" si="7"/>
        <v>167609.72</v>
      </c>
      <c r="Y36" s="17">
        <f t="shared" si="8"/>
        <v>26086.130000000005</v>
      </c>
      <c r="Z36" s="35">
        <f t="shared" si="5"/>
        <v>166209.65</v>
      </c>
      <c r="AA36" s="17">
        <f t="shared" si="9"/>
        <v>24686.059999999998</v>
      </c>
    </row>
    <row r="37" spans="1:27">
      <c r="A37" s="4">
        <v>46022</v>
      </c>
      <c r="B37" s="42">
        <v>-240.43</v>
      </c>
      <c r="C37" s="42">
        <v>-6022.74</v>
      </c>
      <c r="D37" s="42">
        <v>0</v>
      </c>
      <c r="E37" s="42">
        <v>0</v>
      </c>
      <c r="F37" s="42">
        <v>-862.11</v>
      </c>
      <c r="G37" s="17">
        <v>0</v>
      </c>
      <c r="H37" s="17">
        <v>1336.57</v>
      </c>
      <c r="I37" s="17">
        <v>6987.76</v>
      </c>
      <c r="J37" s="17">
        <v>2035.57</v>
      </c>
      <c r="K37" s="17">
        <v>23335.11</v>
      </c>
      <c r="L37" s="17">
        <v>0</v>
      </c>
      <c r="M37" s="17">
        <v>0</v>
      </c>
      <c r="N37" s="17">
        <v>16185.21</v>
      </c>
      <c r="O37" s="17">
        <v>44716.98</v>
      </c>
      <c r="P37" s="18">
        <v>0</v>
      </c>
      <c r="Q37" s="18">
        <v>5204.5200000000004</v>
      </c>
      <c r="R37" s="35">
        <v>65030.46</v>
      </c>
      <c r="S37" s="23">
        <v>10000</v>
      </c>
      <c r="T37" s="23">
        <v>0</v>
      </c>
      <c r="U37" s="47">
        <v>-1492.4300000000003</v>
      </c>
      <c r="V37" s="17">
        <f t="shared" si="0"/>
        <v>87471.920000000013</v>
      </c>
      <c r="W37" s="17">
        <f t="shared" si="6"/>
        <v>92676.440000000017</v>
      </c>
      <c r="X37" s="20">
        <f t="shared" si="7"/>
        <v>167706.90000000002</v>
      </c>
      <c r="Y37" s="17">
        <f t="shared" si="8"/>
        <v>26183.310000000027</v>
      </c>
      <c r="Z37" s="35">
        <f t="shared" si="5"/>
        <v>166214.47000000003</v>
      </c>
      <c r="AA37" s="17">
        <f t="shared" si="9"/>
        <v>24690.880000000034</v>
      </c>
    </row>
    <row r="38" spans="1:27">
      <c r="A38" s="4">
        <v>46028</v>
      </c>
      <c r="B38" s="42">
        <v>-343.3</v>
      </c>
      <c r="C38" s="42">
        <v>-6338.47</v>
      </c>
      <c r="D38" s="42">
        <v>0</v>
      </c>
      <c r="E38" s="42">
        <v>0</v>
      </c>
      <c r="F38" s="42">
        <v>-862.11</v>
      </c>
      <c r="G38" s="17">
        <v>0</v>
      </c>
      <c r="H38" s="17">
        <v>1352.08</v>
      </c>
      <c r="I38" s="17">
        <v>6971.68</v>
      </c>
      <c r="J38" s="17">
        <v>34211.78</v>
      </c>
      <c r="K38" s="17">
        <v>39084.400000000001</v>
      </c>
      <c r="L38" s="17">
        <v>0</v>
      </c>
      <c r="M38" s="17">
        <v>2035.57</v>
      </c>
      <c r="N38" s="17">
        <v>16185.21</v>
      </c>
      <c r="O38" s="17">
        <v>50201.24</v>
      </c>
      <c r="P38" s="18">
        <v>0</v>
      </c>
      <c r="Q38" s="18">
        <v>5204.5200000000004</v>
      </c>
      <c r="R38" s="35">
        <v>15000</v>
      </c>
      <c r="S38" s="23">
        <v>10000</v>
      </c>
      <c r="T38" s="23">
        <v>0</v>
      </c>
      <c r="U38" s="47">
        <v>-170.44999999999891</v>
      </c>
      <c r="V38" s="17">
        <f t="shared" si="0"/>
        <v>142498.07999999999</v>
      </c>
      <c r="W38" s="17">
        <f t="shared" si="6"/>
        <v>147702.59999999998</v>
      </c>
      <c r="X38" s="20">
        <f t="shared" si="7"/>
        <v>172702.59999999998</v>
      </c>
      <c r="Y38" s="17">
        <f t="shared" si="8"/>
        <v>31179.00999999998</v>
      </c>
      <c r="Z38" s="35">
        <f t="shared" si="5"/>
        <v>172532.14999999997</v>
      </c>
      <c r="AA38" s="17">
        <f t="shared" si="9"/>
        <v>31008.559999999969</v>
      </c>
    </row>
    <row r="39" spans="1:27">
      <c r="I39" s="17"/>
      <c r="K39" s="20"/>
      <c r="X39" s="20"/>
      <c r="Z39" s="20"/>
    </row>
    <row r="41" spans="1:27">
      <c r="O41" s="20"/>
      <c r="Z41" s="20"/>
    </row>
    <row r="42" spans="1:27">
      <c r="M42" s="20"/>
      <c r="O42" s="20"/>
    </row>
  </sheetData>
  <phoneticPr fontId="1" type="noConversion"/>
  <pageMargins left="0.7" right="0.7" top="0.75" bottom="0.75" header="0.3" footer="0.3"/>
  <pageSetup paperSize="9" orientation="portrait" r:id="rId1"/>
  <ignoredErrors>
    <ignoredError sqref="Z2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28"/>
  <sheetViews>
    <sheetView zoomScaleNormal="100" workbookViewId="0">
      <selection activeCell="D7" sqref="D7"/>
    </sheetView>
  </sheetViews>
  <sheetFormatPr defaultRowHeight="13.8"/>
  <cols>
    <col min="1" max="1" width="35.6640625" customWidth="1"/>
    <col min="2" max="2" width="10.44140625" style="17" bestFit="1" customWidth="1"/>
    <col min="3" max="4" width="9.44140625" style="17" customWidth="1"/>
    <col min="5" max="5" width="13.6640625" customWidth="1"/>
    <col min="7" max="7" width="8.88671875" style="21"/>
    <col min="8" max="8" width="17" customWidth="1"/>
    <col min="9" max="9" width="11" customWidth="1"/>
    <col min="10" max="10" width="14" customWidth="1"/>
    <col min="11" max="11" width="10.21875" customWidth="1"/>
    <col min="12" max="12" width="9.21875" customWidth="1"/>
  </cols>
  <sheetData>
    <row r="1" spans="1:12">
      <c r="A1" t="s">
        <v>241</v>
      </c>
      <c r="B1" s="17" t="s">
        <v>242</v>
      </c>
      <c r="C1" s="17" t="s">
        <v>279</v>
      </c>
      <c r="D1" s="17" t="s">
        <v>280</v>
      </c>
      <c r="E1" t="s">
        <v>256</v>
      </c>
      <c r="J1" s="17"/>
    </row>
    <row r="2" spans="1:12">
      <c r="A2" t="s">
        <v>221</v>
      </c>
      <c r="B2" s="17">
        <v>10000</v>
      </c>
      <c r="C2" s="17">
        <v>10082.870000000001</v>
      </c>
      <c r="D2" s="34">
        <f t="shared" ref="D2" si="0">C2-B2</f>
        <v>82.8700000000008</v>
      </c>
      <c r="E2" s="4">
        <v>46104</v>
      </c>
      <c r="H2" s="49"/>
      <c r="I2" s="52"/>
      <c r="J2" s="52"/>
      <c r="K2" s="51"/>
      <c r="L2" s="51"/>
    </row>
    <row r="3" spans="1:12">
      <c r="A3" s="38" t="s">
        <v>250</v>
      </c>
      <c r="B3" s="39">
        <v>5000</v>
      </c>
      <c r="C3" s="39">
        <v>4746.68</v>
      </c>
      <c r="D3" s="39">
        <f>C3-B3</f>
        <v>-253.31999999999971</v>
      </c>
      <c r="H3" s="48"/>
      <c r="I3" s="51"/>
      <c r="J3" s="51"/>
      <c r="K3" s="51"/>
      <c r="L3" s="51"/>
    </row>
    <row r="4" spans="1:12">
      <c r="A4" s="36" t="s">
        <v>271</v>
      </c>
      <c r="B4" s="37">
        <v>0</v>
      </c>
      <c r="C4" s="37">
        <v>0</v>
      </c>
      <c r="D4" s="37">
        <f t="shared" ref="D4:D6" si="1">C4-B4</f>
        <v>0</v>
      </c>
      <c r="H4" s="48"/>
      <c r="I4" s="51"/>
      <c r="J4" s="51"/>
      <c r="K4" s="51"/>
      <c r="L4" s="51"/>
    </row>
    <row r="5" spans="1:12">
      <c r="A5" s="36" t="s">
        <v>227</v>
      </c>
      <c r="B5" s="37">
        <v>0</v>
      </c>
      <c r="C5" s="37">
        <v>0</v>
      </c>
      <c r="D5" s="37">
        <f t="shared" si="1"/>
        <v>0</v>
      </c>
      <c r="H5" s="48"/>
      <c r="I5" s="51"/>
      <c r="J5" s="51"/>
      <c r="K5" s="51"/>
      <c r="L5" s="51"/>
    </row>
    <row r="6" spans="1:12">
      <c r="A6" s="36" t="s">
        <v>270</v>
      </c>
      <c r="B6" s="37">
        <v>0</v>
      </c>
      <c r="C6" s="37">
        <v>0</v>
      </c>
      <c r="D6" s="37">
        <f t="shared" si="1"/>
        <v>0</v>
      </c>
      <c r="E6" s="20"/>
      <c r="H6" s="48"/>
      <c r="I6" s="51"/>
      <c r="J6" s="51"/>
      <c r="K6" s="51"/>
      <c r="L6" s="51"/>
    </row>
    <row r="7" spans="1:12">
      <c r="B7" s="17">
        <f>SUM(B2:B6)</f>
        <v>15000</v>
      </c>
      <c r="C7" s="17">
        <f>SUM(C2:C6)</f>
        <v>14829.550000000001</v>
      </c>
      <c r="D7" s="17">
        <f>SUM(D2:D6)</f>
        <v>-170.44999999999891</v>
      </c>
      <c r="H7" s="48"/>
      <c r="I7" s="51"/>
      <c r="J7" s="51"/>
      <c r="K7" s="51"/>
      <c r="L7" s="51"/>
    </row>
    <row r="8" spans="1:12">
      <c r="H8" s="48"/>
      <c r="I8" s="51"/>
      <c r="J8" s="51"/>
      <c r="K8" s="51"/>
      <c r="L8" s="51"/>
    </row>
    <row r="9" spans="1:12">
      <c r="H9" s="49"/>
      <c r="I9" s="52"/>
      <c r="J9" s="52"/>
      <c r="K9" s="56"/>
      <c r="L9" s="56"/>
    </row>
    <row r="10" spans="1:12">
      <c r="H10" s="50"/>
      <c r="I10" s="52"/>
      <c r="J10" s="52"/>
      <c r="K10" s="51"/>
      <c r="L10" s="51"/>
    </row>
    <row r="11" spans="1:12">
      <c r="H11" s="50"/>
      <c r="I11" s="52"/>
      <c r="J11" s="52"/>
      <c r="K11" s="51"/>
      <c r="L11" s="51"/>
    </row>
    <row r="12" spans="1:12">
      <c r="H12" s="50"/>
      <c r="I12" s="53"/>
      <c r="J12" s="53"/>
      <c r="K12" s="51"/>
      <c r="L12" s="51"/>
    </row>
    <row r="13" spans="1:12">
      <c r="I13" s="51"/>
      <c r="J13" s="17"/>
      <c r="K13" s="51"/>
      <c r="L13" s="51"/>
    </row>
    <row r="14" spans="1:12">
      <c r="A14" s="49"/>
      <c r="B14" s="52"/>
      <c r="H14" s="54"/>
      <c r="I14" s="55"/>
      <c r="J14" s="17"/>
      <c r="K14" s="51"/>
      <c r="L14" s="51"/>
    </row>
    <row r="15" spans="1:12">
      <c r="A15" s="50"/>
      <c r="B15" s="52"/>
      <c r="D15" s="34"/>
      <c r="I15" s="51"/>
      <c r="J15" s="17"/>
      <c r="K15" s="51"/>
      <c r="L15" s="51"/>
    </row>
    <row r="16" spans="1:12">
      <c r="A16" s="48"/>
      <c r="B16" s="51"/>
      <c r="E16" s="17"/>
      <c r="I16" s="51"/>
      <c r="J16" s="17"/>
      <c r="K16" s="51"/>
      <c r="L16" s="51"/>
    </row>
    <row r="17" spans="1:2">
      <c r="A17" s="48"/>
      <c r="B17" s="51"/>
    </row>
    <row r="18" spans="1:2">
      <c r="A18" s="48"/>
      <c r="B18" s="51"/>
    </row>
    <row r="19" spans="1:2">
      <c r="A19" s="48"/>
      <c r="B19" s="51"/>
    </row>
    <row r="20" spans="1:2">
      <c r="A20" s="48"/>
      <c r="B20" s="51"/>
    </row>
    <row r="21" spans="1:2">
      <c r="A21" s="48"/>
      <c r="B21" s="51"/>
    </row>
    <row r="22" spans="1:2">
      <c r="A22" s="48"/>
      <c r="B22" s="51"/>
    </row>
    <row r="23" spans="1:2">
      <c r="A23" s="49"/>
      <c r="B23" s="52"/>
    </row>
    <row r="24" spans="1:2">
      <c r="A24" s="50"/>
      <c r="B24" s="52"/>
    </row>
    <row r="25" spans="1:2">
      <c r="A25" s="50"/>
      <c r="B25" s="52"/>
    </row>
    <row r="26" spans="1:2">
      <c r="A26" s="50"/>
      <c r="B26" s="53"/>
    </row>
    <row r="28" spans="1:2">
      <c r="A28" s="5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Q13"/>
  <sheetViews>
    <sheetView workbookViewId="0">
      <selection activeCell="H18" sqref="H18"/>
    </sheetView>
  </sheetViews>
  <sheetFormatPr defaultRowHeight="13.8"/>
  <cols>
    <col min="1" max="1" width="14.33203125" customWidth="1"/>
    <col min="2" max="2" width="12" customWidth="1"/>
    <col min="3" max="3" width="13" customWidth="1"/>
    <col min="4" max="4" width="11.33203125" customWidth="1"/>
    <col min="5" max="5" width="12" customWidth="1"/>
    <col min="7" max="7" width="9.109375" bestFit="1" customWidth="1"/>
    <col min="10" max="10" width="11.88671875" customWidth="1"/>
    <col min="12" max="13" width="9.5546875" customWidth="1"/>
    <col min="14" max="14" width="13.21875" customWidth="1"/>
    <col min="15" max="15" width="11.5546875" customWidth="1"/>
    <col min="16" max="16" width="12" customWidth="1"/>
    <col min="17" max="17" width="13" customWidth="1"/>
  </cols>
  <sheetData>
    <row r="1" spans="1:17">
      <c r="A1" t="s">
        <v>17</v>
      </c>
      <c r="B1" t="s">
        <v>14</v>
      </c>
      <c r="C1" t="s">
        <v>18</v>
      </c>
      <c r="D1" t="s">
        <v>19</v>
      </c>
      <c r="E1" t="s">
        <v>20</v>
      </c>
      <c r="G1" s="58" t="s">
        <v>79</v>
      </c>
      <c r="H1" s="58"/>
      <c r="I1" s="58"/>
      <c r="J1" s="58"/>
      <c r="K1" s="58"/>
      <c r="L1" s="58"/>
      <c r="M1" s="59" t="s">
        <v>84</v>
      </c>
      <c r="N1" s="59"/>
      <c r="O1" s="59"/>
      <c r="P1" s="7"/>
    </row>
    <row r="2" spans="1:17">
      <c r="A2" t="s">
        <v>21</v>
      </c>
      <c r="B2" t="s">
        <v>7</v>
      </c>
      <c r="C2" s="57" t="s">
        <v>25</v>
      </c>
      <c r="D2" t="s">
        <v>52</v>
      </c>
      <c r="E2" t="s">
        <v>48</v>
      </c>
      <c r="G2" s="6" t="s">
        <v>51</v>
      </c>
      <c r="H2" s="6" t="s">
        <v>49</v>
      </c>
      <c r="I2" s="6" t="s">
        <v>53</v>
      </c>
      <c r="J2" s="6" t="s">
        <v>94</v>
      </c>
      <c r="K2" s="6" t="s">
        <v>56</v>
      </c>
      <c r="L2" s="13" t="s">
        <v>87</v>
      </c>
      <c r="M2" s="11" t="s">
        <v>85</v>
      </c>
      <c r="N2" s="12" t="s">
        <v>65</v>
      </c>
      <c r="O2" s="11" t="s">
        <v>88</v>
      </c>
      <c r="P2" s="11" t="s">
        <v>83</v>
      </c>
      <c r="Q2" s="5" t="s">
        <v>93</v>
      </c>
    </row>
    <row r="3" spans="1:17">
      <c r="A3" t="s">
        <v>22</v>
      </c>
      <c r="B3" t="s">
        <v>8</v>
      </c>
      <c r="C3" s="57"/>
      <c r="D3" s="61" t="s">
        <v>50</v>
      </c>
      <c r="E3" t="s">
        <v>47</v>
      </c>
      <c r="G3" s="11" t="s">
        <v>48</v>
      </c>
      <c r="H3" s="11" t="s">
        <v>81</v>
      </c>
      <c r="I3" s="3" t="s">
        <v>27</v>
      </c>
      <c r="J3" s="12" t="s">
        <v>91</v>
      </c>
      <c r="K3" s="3" t="s">
        <v>30</v>
      </c>
      <c r="L3" s="8"/>
      <c r="M3" s="12" t="s">
        <v>86</v>
      </c>
      <c r="N3" t="s">
        <v>89</v>
      </c>
    </row>
    <row r="4" spans="1:17">
      <c r="A4" t="s">
        <v>226</v>
      </c>
      <c r="B4" t="s">
        <v>10</v>
      </c>
      <c r="C4" s="57"/>
      <c r="D4" s="61"/>
      <c r="E4" t="s">
        <v>41</v>
      </c>
      <c r="H4" s="11" t="s">
        <v>58</v>
      </c>
      <c r="I4" s="3" t="s">
        <v>28</v>
      </c>
      <c r="J4" s="12" t="s">
        <v>63</v>
      </c>
      <c r="K4" s="3" t="s">
        <v>31</v>
      </c>
      <c r="L4" s="9"/>
      <c r="N4" s="11" t="s">
        <v>90</v>
      </c>
    </row>
    <row r="5" spans="1:17">
      <c r="A5" t="s">
        <v>8</v>
      </c>
      <c r="B5" t="s">
        <v>11</v>
      </c>
      <c r="C5" s="57"/>
      <c r="D5" s="61"/>
      <c r="E5" t="s">
        <v>44</v>
      </c>
      <c r="H5" s="11" t="s">
        <v>59</v>
      </c>
      <c r="I5" s="3" t="s">
        <v>29</v>
      </c>
      <c r="J5" s="12" t="s">
        <v>92</v>
      </c>
      <c r="L5" s="10"/>
      <c r="N5" t="s">
        <v>107</v>
      </c>
    </row>
    <row r="6" spans="1:17">
      <c r="A6" t="s">
        <v>23</v>
      </c>
      <c r="B6" t="s">
        <v>0</v>
      </c>
      <c r="C6" s="57"/>
      <c r="D6" s="60" t="s">
        <v>54</v>
      </c>
      <c r="E6" s="3" t="s">
        <v>27</v>
      </c>
      <c r="H6" s="11" t="s">
        <v>60</v>
      </c>
      <c r="L6" s="10"/>
      <c r="N6" s="11" t="s">
        <v>108</v>
      </c>
    </row>
    <row r="7" spans="1:17">
      <c r="A7" t="s">
        <v>24</v>
      </c>
      <c r="B7" t="s">
        <v>1</v>
      </c>
      <c r="C7" s="57"/>
      <c r="D7" s="60"/>
      <c r="E7" s="3" t="s">
        <v>28</v>
      </c>
      <c r="H7" s="11" t="s">
        <v>74</v>
      </c>
      <c r="L7" s="10"/>
    </row>
    <row r="8" spans="1:17">
      <c r="A8" t="s">
        <v>246</v>
      </c>
      <c r="B8" s="1" t="s">
        <v>2</v>
      </c>
      <c r="C8" s="57"/>
      <c r="D8" s="60"/>
      <c r="E8" s="3" t="s">
        <v>29</v>
      </c>
      <c r="H8" s="11" t="s">
        <v>82</v>
      </c>
      <c r="L8" s="10"/>
    </row>
    <row r="9" spans="1:17">
      <c r="B9" s="2" t="s">
        <v>3</v>
      </c>
      <c r="C9" s="57"/>
      <c r="D9" s="60" t="s">
        <v>55</v>
      </c>
      <c r="E9" s="3" t="s">
        <v>39</v>
      </c>
      <c r="L9" s="10"/>
    </row>
    <row r="10" spans="1:17">
      <c r="B10" s="2" t="s">
        <v>4</v>
      </c>
      <c r="C10" s="57"/>
      <c r="D10" s="60"/>
      <c r="E10" s="3" t="s">
        <v>40</v>
      </c>
      <c r="L10" s="10"/>
    </row>
    <row r="11" spans="1:17">
      <c r="B11" s="2" t="s">
        <v>5</v>
      </c>
      <c r="C11" s="57"/>
      <c r="D11" s="60" t="s">
        <v>57</v>
      </c>
      <c r="E11" s="3" t="s">
        <v>30</v>
      </c>
    </row>
    <row r="12" spans="1:17">
      <c r="B12" s="2" t="s">
        <v>6</v>
      </c>
      <c r="C12" s="57"/>
      <c r="D12" s="60"/>
      <c r="E12" s="3" t="s">
        <v>31</v>
      </c>
    </row>
    <row r="13" spans="1:17">
      <c r="B13" s="2" t="s">
        <v>12</v>
      </c>
      <c r="C13" t="s">
        <v>26</v>
      </c>
    </row>
  </sheetData>
  <mergeCells count="7">
    <mergeCell ref="C2:C12"/>
    <mergeCell ref="G1:L1"/>
    <mergeCell ref="M1:O1"/>
    <mergeCell ref="D6:D8"/>
    <mergeCell ref="D11:D12"/>
    <mergeCell ref="D9:D10"/>
    <mergeCell ref="D3:D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支出</vt:lpstr>
      <vt:lpstr>收入</vt:lpstr>
      <vt:lpstr>余额2</vt:lpstr>
      <vt:lpstr>资产配置</vt:lpstr>
      <vt:lpstr>消费分类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2026-01-14T05:22:38Z</dcterms:modified>
</cp:coreProperties>
</file>