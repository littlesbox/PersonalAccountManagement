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2260" windowHeight="12648" activeTab="1"/>
  </bookViews>
  <sheets>
    <sheet name="支出" sheetId="8" r:id="rId1"/>
    <sheet name="收入" sheetId="4" r:id="rId2"/>
    <sheet name="余额2" sheetId="12" r:id="rId3"/>
    <sheet name="资产配置" sheetId="14" r:id="rId4"/>
    <sheet name="消费分类" sheetId="5" r:id="rId5"/>
  </sheets>
  <definedNames>
    <definedName name="_xlnm._FilterDatabase" localSheetId="1" hidden="1">收入!$A$1:$E$45</definedName>
    <definedName name="_xlnm._FilterDatabase" localSheetId="0" hidden="1">支出!$A$1:$F$614</definedName>
    <definedName name="_xlnm.Extract" localSheetId="0">支出!$H$2:$H$40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50" i="8" l="1"/>
  <c r="Z38" i="12"/>
  <c r="AA38" i="12" s="1"/>
  <c r="X38" i="12"/>
  <c r="Y38" i="12"/>
  <c r="V38" i="12"/>
  <c r="W38" i="12"/>
  <c r="AA37" i="12" l="1"/>
  <c r="Z37" i="12"/>
  <c r="Y37" i="12"/>
  <c r="X37" i="12"/>
  <c r="W37" i="12"/>
  <c r="V37" i="12"/>
  <c r="A632" i="8"/>
  <c r="V36" i="12"/>
  <c r="W36" i="12"/>
  <c r="X36" i="12"/>
  <c r="Y36" i="12" s="1"/>
  <c r="Z36" i="12"/>
  <c r="AA36" i="12" s="1"/>
  <c r="A614" i="8" l="1"/>
  <c r="AA35" i="12"/>
  <c r="Z35" i="12"/>
  <c r="Y35" i="12"/>
  <c r="X35" i="12"/>
  <c r="W35" i="12"/>
  <c r="V35" i="12"/>
  <c r="A580" i="8" l="1"/>
  <c r="Z34" i="12"/>
  <c r="AA34" i="12" s="1"/>
  <c r="Y34" i="12"/>
  <c r="X34" i="12"/>
  <c r="W34" i="12"/>
  <c r="V34" i="12"/>
  <c r="A578" i="8" l="1"/>
  <c r="AA33" i="12"/>
  <c r="Z33" i="12"/>
  <c r="Y33" i="12"/>
  <c r="X33" i="12"/>
  <c r="W33" i="12"/>
  <c r="V33" i="12"/>
  <c r="A556" i="8" l="1"/>
  <c r="Z32" i="12"/>
  <c r="AA32" i="12" s="1"/>
  <c r="X32" i="12"/>
  <c r="Y32" i="12" s="1"/>
  <c r="W32" i="12"/>
  <c r="V32" i="12"/>
  <c r="Z31" i="12" l="1"/>
  <c r="AA31" i="12" s="1"/>
  <c r="X31" i="12"/>
  <c r="Y31" i="12" s="1"/>
  <c r="A534" i="8"/>
  <c r="W31" i="12"/>
  <c r="V31" i="12"/>
  <c r="A519" i="8" l="1"/>
  <c r="AA30" i="12"/>
  <c r="Z30" i="12"/>
  <c r="Y30" i="12"/>
  <c r="X30" i="12"/>
  <c r="W30" i="12"/>
  <c r="V30" i="12"/>
  <c r="A489" i="8" l="1"/>
  <c r="AA29" i="12"/>
  <c r="Z28" i="12"/>
  <c r="AA28" i="12"/>
  <c r="Z29" i="12"/>
  <c r="X29" i="12"/>
  <c r="Y29" i="12" s="1"/>
  <c r="D3" i="14"/>
  <c r="W29" i="12"/>
  <c r="V29" i="12"/>
  <c r="W28" i="12" l="1"/>
  <c r="X28" i="12"/>
  <c r="Y28" i="12" s="1"/>
  <c r="V28" i="12"/>
  <c r="A458" i="8"/>
  <c r="Z27" i="12" l="1"/>
  <c r="X27" i="12"/>
  <c r="Y27" i="12" s="1"/>
  <c r="W27" i="12"/>
  <c r="V27" i="12"/>
  <c r="A437" i="8"/>
  <c r="Z26" i="12" l="1"/>
  <c r="X26" i="12"/>
  <c r="Y26" i="12" s="1"/>
  <c r="W26" i="12"/>
  <c r="V26" i="12"/>
  <c r="A410" i="8"/>
  <c r="A408" i="8"/>
  <c r="A403" i="8"/>
  <c r="A401" i="8"/>
  <c r="A398" i="8"/>
  <c r="A395" i="8"/>
  <c r="A392" i="8"/>
  <c r="A390" i="8"/>
  <c r="A386" i="8"/>
  <c r="B7" i="14" l="1"/>
  <c r="D2" i="14"/>
  <c r="D4" i="14"/>
  <c r="D6" i="14"/>
  <c r="W25" i="12"/>
  <c r="X25" i="12"/>
  <c r="Y25" i="12" s="1"/>
  <c r="V25" i="12"/>
  <c r="A385" i="8"/>
  <c r="A383" i="8"/>
  <c r="A381" i="8"/>
  <c r="A379" i="8"/>
  <c r="A377" i="8"/>
  <c r="X24" i="12"/>
  <c r="Y24" i="12" s="1"/>
  <c r="W24" i="12"/>
  <c r="V24" i="12"/>
  <c r="A375" i="8" l="1"/>
  <c r="A372" i="8"/>
  <c r="X23" i="12" l="1"/>
  <c r="Y23" i="12" s="1"/>
  <c r="V23" i="12"/>
  <c r="W23" i="12"/>
  <c r="A368" i="8"/>
  <c r="A366" i="8"/>
  <c r="A364" i="8"/>
  <c r="A362" i="8"/>
  <c r="A360" i="8" l="1"/>
  <c r="A357" i="8"/>
  <c r="A354" i="8"/>
  <c r="V22" i="12" l="1"/>
  <c r="W22" i="12"/>
  <c r="X22" i="12"/>
  <c r="Y22" i="12" s="1"/>
  <c r="A336" i="8"/>
  <c r="A345" i="8"/>
  <c r="A343" i="8" l="1"/>
  <c r="A331" i="8" l="1"/>
  <c r="A330" i="8"/>
  <c r="A329" i="8" l="1"/>
  <c r="X21" i="12"/>
  <c r="Y21" i="12" s="1"/>
  <c r="V21" i="12" l="1"/>
  <c r="W21" i="12"/>
  <c r="A326" i="8"/>
  <c r="A325" i="8"/>
  <c r="A320" i="8" l="1"/>
  <c r="A319" i="8"/>
  <c r="A316" i="8"/>
  <c r="A313" i="8"/>
  <c r="A312" i="8" l="1"/>
  <c r="A307" i="8"/>
  <c r="A304" i="8"/>
  <c r="A300" i="8"/>
  <c r="A298" i="8"/>
  <c r="V20" i="12"/>
  <c r="W20" i="12"/>
  <c r="X20" i="12"/>
  <c r="Y20" i="12" s="1"/>
  <c r="X5" i="12" l="1"/>
  <c r="Y5" i="12" s="1"/>
  <c r="X6" i="12"/>
  <c r="Y6" i="12" s="1"/>
  <c r="X7" i="12"/>
  <c r="Y7" i="12" s="1"/>
  <c r="X8" i="12"/>
  <c r="Y8" i="12" s="1"/>
  <c r="X9" i="12"/>
  <c r="Y9" i="12" s="1"/>
  <c r="X10" i="12"/>
  <c r="Y10" i="12" s="1"/>
  <c r="X11" i="12"/>
  <c r="Y11" i="12" s="1"/>
  <c r="X12" i="12"/>
  <c r="Y12" i="12" s="1"/>
  <c r="X13" i="12"/>
  <c r="Y13" i="12" s="1"/>
  <c r="X14" i="12"/>
  <c r="Y14" i="12" s="1"/>
  <c r="X15" i="12"/>
  <c r="Y15" i="12" s="1"/>
  <c r="X16" i="12"/>
  <c r="Y16" i="12" s="1"/>
  <c r="X17" i="12"/>
  <c r="Y17" i="12" s="1"/>
  <c r="X18" i="12"/>
  <c r="Y18" i="12" s="1"/>
  <c r="X19" i="12"/>
  <c r="Y19" i="12" s="1"/>
  <c r="X4" i="12"/>
  <c r="Y4" i="12" s="1"/>
  <c r="W5" i="12"/>
  <c r="W6" i="12"/>
  <c r="W7" i="12"/>
  <c r="W8" i="12"/>
  <c r="W9" i="12"/>
  <c r="W10" i="12"/>
  <c r="W11" i="12"/>
  <c r="W12" i="12"/>
  <c r="W13" i="12"/>
  <c r="W14" i="12"/>
  <c r="W15" i="12"/>
  <c r="W16" i="12"/>
  <c r="W17" i="12"/>
  <c r="W18" i="12"/>
  <c r="W19" i="12"/>
  <c r="W4" i="12"/>
  <c r="V5" i="12"/>
  <c r="V6" i="12"/>
  <c r="V7" i="12"/>
  <c r="V8" i="12"/>
  <c r="V9" i="12"/>
  <c r="V10" i="12"/>
  <c r="V11" i="12"/>
  <c r="V12" i="12"/>
  <c r="V13" i="12"/>
  <c r="V14" i="12"/>
  <c r="V15" i="12"/>
  <c r="V16" i="12"/>
  <c r="V17" i="12"/>
  <c r="V18" i="12"/>
  <c r="V19" i="12"/>
  <c r="V4" i="12"/>
  <c r="A295" i="8"/>
  <c r="A294" i="8"/>
  <c r="A292" i="8" l="1"/>
  <c r="A290" i="8"/>
  <c r="A282" i="8" l="1"/>
  <c r="A281" i="8"/>
  <c r="A280" i="8" l="1"/>
  <c r="A277" i="8" l="1"/>
  <c r="A268" i="8" l="1"/>
  <c r="A275" i="8"/>
  <c r="A273" i="8"/>
  <c r="A269" i="8"/>
  <c r="A265" i="8" l="1"/>
  <c r="A261" i="8"/>
  <c r="A257" i="8"/>
  <c r="A254" i="8" l="1"/>
  <c r="A252" i="8"/>
  <c r="A250" i="8"/>
  <c r="A246" i="8" l="1"/>
  <c r="A243" i="8"/>
  <c r="A239" i="8" l="1"/>
  <c r="A235" i="8" l="1"/>
  <c r="A230" i="8"/>
  <c r="A224" i="8"/>
  <c r="A218" i="8" l="1"/>
  <c r="A220" i="8"/>
  <c r="A214" i="8" l="1"/>
  <c r="A211" i="8"/>
  <c r="A209" i="8" l="1"/>
  <c r="A205" i="8" l="1"/>
  <c r="A201" i="8"/>
  <c r="A199" i="8"/>
  <c r="A196" i="8"/>
  <c r="A194" i="8"/>
  <c r="A192" i="8"/>
  <c r="A190" i="8"/>
  <c r="A188" i="8"/>
  <c r="A183" i="8"/>
  <c r="A179" i="8" l="1"/>
  <c r="A178" i="8"/>
  <c r="A177" i="8" l="1"/>
  <c r="A174" i="8"/>
  <c r="A172" i="8" l="1"/>
  <c r="A170" i="8"/>
  <c r="A169" i="8"/>
  <c r="A165" i="8" l="1"/>
  <c r="A160" i="8"/>
  <c r="A157" i="8"/>
  <c r="A153" i="8"/>
  <c r="A151" i="8" l="1"/>
  <c r="A149" i="8"/>
  <c r="A143" i="8" l="1"/>
  <c r="A140" i="8"/>
  <c r="A135" i="8" l="1"/>
  <c r="A133" i="8"/>
  <c r="A131" i="8"/>
  <c r="A125" i="8" l="1"/>
  <c r="A120" i="8" l="1"/>
  <c r="A116" i="8" l="1"/>
  <c r="A114" i="8" l="1"/>
  <c r="A112" i="8"/>
  <c r="A110" i="8" l="1"/>
  <c r="A105" i="8"/>
  <c r="A103" i="8" l="1"/>
  <c r="A99" i="8" l="1"/>
  <c r="A97" i="8" l="1"/>
  <c r="A94" i="8"/>
  <c r="A91" i="8" l="1"/>
  <c r="A88" i="8" l="1"/>
  <c r="A86" i="8"/>
  <c r="A82" i="8"/>
  <c r="A77" i="8"/>
  <c r="A73" i="8"/>
  <c r="A62" i="8" l="1"/>
  <c r="A70" i="8"/>
  <c r="A64" i="8" l="1"/>
  <c r="A59" i="8" l="1"/>
  <c r="A53" i="8" l="1"/>
  <c r="A49" i="8"/>
  <c r="A41" i="8"/>
  <c r="A39" i="8"/>
  <c r="A35" i="8"/>
  <c r="A33" i="8"/>
  <c r="A28" i="8"/>
  <c r="A22" i="8"/>
  <c r="A19" i="8"/>
  <c r="A13" i="8"/>
  <c r="A10" i="8"/>
  <c r="A4" i="8"/>
  <c r="C7" i="14"/>
  <c r="D5" i="14"/>
  <c r="D7" i="14" s="1"/>
</calcChain>
</file>

<file path=xl/sharedStrings.xml><?xml version="1.0" encoding="utf-8"?>
<sst xmlns="http://schemas.openxmlformats.org/spreadsheetml/2006/main" count="1954" uniqueCount="1073">
  <si>
    <t>微信</t>
  </si>
  <si>
    <t>支付宝</t>
  </si>
  <si>
    <t>工商</t>
  </si>
  <si>
    <t>建行</t>
  </si>
  <si>
    <t>光大</t>
  </si>
  <si>
    <t>农信</t>
  </si>
  <si>
    <t>农行</t>
  </si>
  <si>
    <t>花呗</t>
    <phoneticPr fontId="1" type="noConversion"/>
  </si>
  <si>
    <t>白条</t>
    <phoneticPr fontId="1" type="noConversion"/>
  </si>
  <si>
    <t>日期</t>
    <phoneticPr fontId="1" type="noConversion"/>
  </si>
  <si>
    <t>美团月付</t>
    <phoneticPr fontId="1" type="noConversion"/>
  </si>
  <si>
    <t>抖音月付</t>
    <phoneticPr fontId="1" type="noConversion"/>
  </si>
  <si>
    <t>浦发</t>
    <phoneticPr fontId="1" type="noConversion"/>
  </si>
  <si>
    <t>借出</t>
    <phoneticPr fontId="1" type="noConversion"/>
  </si>
  <si>
    <t>资金源头</t>
    <phoneticPr fontId="1" type="noConversion"/>
  </si>
  <si>
    <t>日期</t>
    <phoneticPr fontId="1" type="noConversion"/>
  </si>
  <si>
    <t>金额</t>
    <phoneticPr fontId="1" type="noConversion"/>
  </si>
  <si>
    <t>说明</t>
    <phoneticPr fontId="1" type="noConversion"/>
  </si>
  <si>
    <t>支付通道</t>
    <phoneticPr fontId="1" type="noConversion"/>
  </si>
  <si>
    <t>开销类别1</t>
    <phoneticPr fontId="1" type="noConversion"/>
  </si>
  <si>
    <t>开销类别2</t>
    <phoneticPr fontId="1" type="noConversion"/>
  </si>
  <si>
    <t>开销类别3</t>
    <phoneticPr fontId="1" type="noConversion"/>
  </si>
  <si>
    <t>微信</t>
    <phoneticPr fontId="1" type="noConversion"/>
  </si>
  <si>
    <t>支付宝</t>
    <phoneticPr fontId="1" type="noConversion"/>
  </si>
  <si>
    <t>美团月付</t>
    <phoneticPr fontId="1" type="noConversion"/>
  </si>
  <si>
    <t>抖音月付</t>
    <phoneticPr fontId="1" type="noConversion"/>
  </si>
  <si>
    <t>基本开销</t>
    <phoneticPr fontId="1" type="noConversion"/>
  </si>
  <si>
    <t>其他开销</t>
    <phoneticPr fontId="1" type="noConversion"/>
  </si>
  <si>
    <t>房租</t>
    <phoneticPr fontId="1" type="noConversion"/>
  </si>
  <si>
    <t>水电</t>
    <phoneticPr fontId="1" type="noConversion"/>
  </si>
  <si>
    <t>物业</t>
    <phoneticPr fontId="1" type="noConversion"/>
  </si>
  <si>
    <t>宽带</t>
    <phoneticPr fontId="1" type="noConversion"/>
  </si>
  <si>
    <t>话费</t>
    <phoneticPr fontId="1" type="noConversion"/>
  </si>
  <si>
    <t>日期</t>
    <phoneticPr fontId="1" type="noConversion"/>
  </si>
  <si>
    <t>金额</t>
    <phoneticPr fontId="1" type="noConversion"/>
  </si>
  <si>
    <t>说明</t>
    <phoneticPr fontId="1" type="noConversion"/>
  </si>
  <si>
    <t>收款通道</t>
    <phoneticPr fontId="1" type="noConversion"/>
  </si>
  <si>
    <t>浦发银行卡</t>
    <phoneticPr fontId="1" type="noConversion"/>
  </si>
  <si>
    <t>微信</t>
    <phoneticPr fontId="1" type="noConversion"/>
  </si>
  <si>
    <t>微信</t>
    <phoneticPr fontId="1" type="noConversion"/>
  </si>
  <si>
    <t>早上打车上班</t>
    <phoneticPr fontId="1" type="noConversion"/>
  </si>
  <si>
    <t>上班通勤</t>
    <phoneticPr fontId="1" type="noConversion"/>
  </si>
  <si>
    <t>其他出行</t>
    <phoneticPr fontId="1" type="noConversion"/>
  </si>
  <si>
    <t>下午下班地铁口共享单车回宿舍</t>
    <phoneticPr fontId="1" type="noConversion"/>
  </si>
  <si>
    <t>三餐</t>
    <phoneticPr fontId="1" type="noConversion"/>
  </si>
  <si>
    <t>晚餐</t>
    <phoneticPr fontId="1" type="noConversion"/>
  </si>
  <si>
    <t>7月工资</t>
    <phoneticPr fontId="1" type="noConversion"/>
  </si>
  <si>
    <t>微信</t>
    <phoneticPr fontId="1" type="noConversion"/>
  </si>
  <si>
    <t>出去打羽毛球骑共享单车</t>
    <phoneticPr fontId="1" type="noConversion"/>
  </si>
  <si>
    <t>其他饮食</t>
    <phoneticPr fontId="1" type="noConversion"/>
  </si>
  <si>
    <t>打羽毛球时买饮料</t>
    <phoneticPr fontId="1" type="noConversion"/>
  </si>
  <si>
    <t>打羽毛球回来路上买饮料</t>
    <phoneticPr fontId="1" type="noConversion"/>
  </si>
  <si>
    <t>羽毛球场地费</t>
    <phoneticPr fontId="1" type="noConversion"/>
  </si>
  <si>
    <t>支付宝</t>
    <phoneticPr fontId="1" type="noConversion"/>
  </si>
  <si>
    <t>淘宝点外卖</t>
    <phoneticPr fontId="1" type="noConversion"/>
  </si>
  <si>
    <t>京东买鞋架</t>
    <phoneticPr fontId="1" type="noConversion"/>
  </si>
  <si>
    <t>共享单车去上班</t>
    <phoneticPr fontId="1" type="noConversion"/>
  </si>
  <si>
    <t>QQ音乐自动续费</t>
    <phoneticPr fontId="1" type="noConversion"/>
  </si>
  <si>
    <t>岭南通充值</t>
    <phoneticPr fontId="1" type="noConversion"/>
  </si>
  <si>
    <t>支付宝</t>
    <phoneticPr fontId="1" type="noConversion"/>
  </si>
  <si>
    <t>午餐</t>
    <phoneticPr fontId="1" type="noConversion"/>
  </si>
  <si>
    <t>晚饭 京东外卖</t>
    <phoneticPr fontId="1" type="noConversion"/>
  </si>
  <si>
    <t>饮用水</t>
    <phoneticPr fontId="1" type="noConversion"/>
  </si>
  <si>
    <t>美团买6L怡宝</t>
    <phoneticPr fontId="1" type="noConversion"/>
  </si>
  <si>
    <t>晚上打车下班</t>
    <phoneticPr fontId="1" type="noConversion"/>
  </si>
  <si>
    <t>上下班打车</t>
    <phoneticPr fontId="1" type="noConversion"/>
  </si>
  <si>
    <t>购买毛巾和沐浴露</t>
    <phoneticPr fontId="1" type="noConversion"/>
  </si>
  <si>
    <t>买衣服</t>
    <phoneticPr fontId="1" type="noConversion"/>
  </si>
  <si>
    <t>食</t>
  </si>
  <si>
    <t>食</t>
    <phoneticPr fontId="1" type="noConversion"/>
  </si>
  <si>
    <t>衣</t>
  </si>
  <si>
    <t>衣</t>
    <phoneticPr fontId="1" type="noConversion"/>
  </si>
  <si>
    <t>住</t>
  </si>
  <si>
    <t>住</t>
    <phoneticPr fontId="1" type="noConversion"/>
  </si>
  <si>
    <t>行</t>
    <phoneticPr fontId="1" type="noConversion"/>
  </si>
  <si>
    <t>通讯</t>
  </si>
  <si>
    <t>通讯</t>
    <phoneticPr fontId="1" type="noConversion"/>
  </si>
  <si>
    <t>早餐</t>
    <phoneticPr fontId="1" type="noConversion"/>
  </si>
  <si>
    <t>午餐</t>
    <phoneticPr fontId="1" type="noConversion"/>
  </si>
  <si>
    <t>晚餐</t>
    <phoneticPr fontId="1" type="noConversion"/>
  </si>
  <si>
    <t>微信</t>
    <phoneticPr fontId="1" type="noConversion"/>
  </si>
  <si>
    <t>PDD省钱卡</t>
    <phoneticPr fontId="1" type="noConversion"/>
  </si>
  <si>
    <t>买了一桶羽毛球</t>
    <phoneticPr fontId="1" type="noConversion"/>
  </si>
  <si>
    <t>空气清新剂</t>
    <phoneticPr fontId="1" type="noConversion"/>
  </si>
  <si>
    <t>京东外卖</t>
    <phoneticPr fontId="1" type="noConversion"/>
  </si>
  <si>
    <t>微信</t>
    <phoneticPr fontId="1" type="noConversion"/>
  </si>
  <si>
    <t>共享单车</t>
    <phoneticPr fontId="1" type="noConversion"/>
  </si>
  <si>
    <t>微信</t>
    <phoneticPr fontId="1" type="noConversion"/>
  </si>
  <si>
    <t>羽毛球场地费</t>
    <phoneticPr fontId="1" type="noConversion"/>
  </si>
  <si>
    <t>微信</t>
    <phoneticPr fontId="1" type="noConversion"/>
  </si>
  <si>
    <t>支付宝</t>
    <phoneticPr fontId="1" type="noConversion"/>
  </si>
  <si>
    <t>午餐</t>
    <phoneticPr fontId="1" type="noConversion"/>
  </si>
  <si>
    <t>淘宝点外卖</t>
    <phoneticPr fontId="1" type="noConversion"/>
  </si>
  <si>
    <t>微信</t>
    <phoneticPr fontId="1" type="noConversion"/>
  </si>
  <si>
    <t>午餐</t>
    <phoneticPr fontId="1" type="noConversion"/>
  </si>
  <si>
    <t>京东外卖</t>
    <phoneticPr fontId="1" type="noConversion"/>
  </si>
  <si>
    <t>收舍友水电费</t>
    <phoneticPr fontId="1" type="noConversion"/>
  </si>
  <si>
    <t>微信</t>
    <phoneticPr fontId="1" type="noConversion"/>
  </si>
  <si>
    <t>共享单车</t>
    <phoneticPr fontId="1" type="noConversion"/>
  </si>
  <si>
    <t>支付宝</t>
    <phoneticPr fontId="1" type="noConversion"/>
  </si>
  <si>
    <t>打车回宿舍</t>
    <phoneticPr fontId="1" type="noConversion"/>
  </si>
  <si>
    <t>微信</t>
    <phoneticPr fontId="1" type="noConversion"/>
  </si>
  <si>
    <t>京东买正装裤子</t>
    <phoneticPr fontId="1" type="noConversion"/>
  </si>
  <si>
    <t>微信</t>
    <phoneticPr fontId="1" type="noConversion"/>
  </si>
  <si>
    <t>打车回宿舍</t>
    <phoneticPr fontId="1" type="noConversion"/>
  </si>
  <si>
    <t>宵夜</t>
    <phoneticPr fontId="1" type="noConversion"/>
  </si>
  <si>
    <t>京东外卖</t>
    <phoneticPr fontId="1" type="noConversion"/>
  </si>
  <si>
    <t>宵夜</t>
    <phoneticPr fontId="1" type="noConversion"/>
  </si>
  <si>
    <t>羽毛球服</t>
    <phoneticPr fontId="1" type="noConversion"/>
  </si>
  <si>
    <t>微信</t>
    <phoneticPr fontId="1" type="noConversion"/>
  </si>
  <si>
    <t>买羽毛球</t>
  </si>
  <si>
    <t>微信</t>
    <phoneticPr fontId="1" type="noConversion"/>
  </si>
  <si>
    <t>早上打车上班</t>
    <phoneticPr fontId="1" type="noConversion"/>
  </si>
  <si>
    <t>晚上打车下班</t>
    <phoneticPr fontId="1" type="noConversion"/>
  </si>
  <si>
    <t>京东买热水壶</t>
    <phoneticPr fontId="1" type="noConversion"/>
  </si>
  <si>
    <t>上下班打车</t>
    <phoneticPr fontId="1" type="noConversion"/>
  </si>
  <si>
    <t>上下班打车</t>
    <phoneticPr fontId="1" type="noConversion"/>
  </si>
  <si>
    <t>上下班打车</t>
    <phoneticPr fontId="1" type="noConversion"/>
  </si>
  <si>
    <t>京东买薄荷糖</t>
    <phoneticPr fontId="1" type="noConversion"/>
  </si>
  <si>
    <t>晚餐</t>
    <phoneticPr fontId="1" type="noConversion"/>
  </si>
  <si>
    <t>支付宝</t>
    <phoneticPr fontId="1" type="noConversion"/>
  </si>
  <si>
    <t>教师资格证报名费</t>
    <phoneticPr fontId="1" type="noConversion"/>
  </si>
  <si>
    <t>基本开销</t>
    <phoneticPr fontId="1" type="noConversion"/>
  </si>
  <si>
    <t>微信</t>
    <phoneticPr fontId="1" type="noConversion"/>
  </si>
  <si>
    <t>买羽毛球</t>
    <phoneticPr fontId="1" type="noConversion"/>
  </si>
  <si>
    <t>桶装水</t>
    <phoneticPr fontId="1" type="noConversion"/>
  </si>
  <si>
    <t>零食饮料</t>
    <phoneticPr fontId="1" type="noConversion"/>
  </si>
  <si>
    <t>考试报名费</t>
    <phoneticPr fontId="1" type="noConversion"/>
  </si>
  <si>
    <t>其他开销</t>
    <phoneticPr fontId="1" type="noConversion"/>
  </si>
  <si>
    <t>热水壶</t>
    <phoneticPr fontId="1" type="noConversion"/>
  </si>
  <si>
    <t>鞋架</t>
    <phoneticPr fontId="1" type="noConversion"/>
  </si>
  <si>
    <t>热水壶</t>
    <phoneticPr fontId="1" type="noConversion"/>
  </si>
  <si>
    <t>鞋架</t>
    <phoneticPr fontId="1" type="noConversion"/>
  </si>
  <si>
    <t>考试报名费</t>
    <phoneticPr fontId="1" type="noConversion"/>
  </si>
  <si>
    <t>买2桶羽毛球</t>
    <phoneticPr fontId="1" type="noConversion"/>
  </si>
  <si>
    <t>身份证邮费</t>
    <phoneticPr fontId="1" type="noConversion"/>
  </si>
  <si>
    <t>邮费</t>
  </si>
  <si>
    <t>午餐淘宝闪购外卖</t>
    <phoneticPr fontId="1" type="noConversion"/>
  </si>
  <si>
    <t>生活用品</t>
    <phoneticPr fontId="1" type="noConversion"/>
  </si>
  <si>
    <t>邮费</t>
    <phoneticPr fontId="1" type="noConversion"/>
  </si>
  <si>
    <t>羽毛球球费</t>
    <phoneticPr fontId="1" type="noConversion"/>
  </si>
  <si>
    <t>买羽毛球</t>
    <phoneticPr fontId="1" type="noConversion"/>
  </si>
  <si>
    <t>打车</t>
    <phoneticPr fontId="1" type="noConversion"/>
  </si>
  <si>
    <t>公交卡充值</t>
    <phoneticPr fontId="1" type="noConversion"/>
  </si>
  <si>
    <t>打车</t>
    <phoneticPr fontId="1" type="noConversion"/>
  </si>
  <si>
    <t>买羽毛球</t>
    <phoneticPr fontId="1" type="noConversion"/>
  </si>
  <si>
    <t>公交卡充值</t>
    <phoneticPr fontId="1" type="noConversion"/>
  </si>
  <si>
    <t>买羽毛球</t>
    <phoneticPr fontId="1" type="noConversion"/>
  </si>
  <si>
    <t>生活用品</t>
    <phoneticPr fontId="1" type="noConversion"/>
  </si>
  <si>
    <t>生活用品</t>
    <phoneticPr fontId="1" type="noConversion"/>
  </si>
  <si>
    <t>网络平台会员</t>
    <phoneticPr fontId="1" type="noConversion"/>
  </si>
  <si>
    <t>行</t>
    <phoneticPr fontId="1" type="noConversion"/>
  </si>
  <si>
    <t>微信</t>
    <phoneticPr fontId="1" type="noConversion"/>
  </si>
  <si>
    <t>零食饮料</t>
    <phoneticPr fontId="1" type="noConversion"/>
  </si>
  <si>
    <t>午餐</t>
    <phoneticPr fontId="1" type="noConversion"/>
  </si>
  <si>
    <t>京东外卖</t>
    <phoneticPr fontId="1" type="noConversion"/>
  </si>
  <si>
    <t>微信</t>
    <phoneticPr fontId="1" type="noConversion"/>
  </si>
  <si>
    <t>支付宝</t>
    <phoneticPr fontId="1" type="noConversion"/>
  </si>
  <si>
    <t>晚餐</t>
    <phoneticPr fontId="1" type="noConversion"/>
  </si>
  <si>
    <t>1.25L可乐 生日请吃鸡公煲</t>
    <phoneticPr fontId="1" type="noConversion"/>
  </si>
  <si>
    <t>生日请吃鸡公煲</t>
  </si>
  <si>
    <t>支付宝</t>
    <phoneticPr fontId="1" type="noConversion"/>
  </si>
  <si>
    <t>晚餐</t>
    <phoneticPr fontId="1" type="noConversion"/>
  </si>
  <si>
    <t>生日请吃鸡公煲 第三个堡</t>
    <phoneticPr fontId="1" type="noConversion"/>
  </si>
  <si>
    <t>买衣服</t>
    <phoneticPr fontId="1" type="noConversion"/>
  </si>
  <si>
    <t>共享单车</t>
    <phoneticPr fontId="1" type="noConversion"/>
  </si>
  <si>
    <t>共享单车</t>
    <phoneticPr fontId="1" type="noConversion"/>
  </si>
  <si>
    <t>pdd买魔法士 先用后付</t>
    <phoneticPr fontId="1" type="noConversion"/>
  </si>
  <si>
    <t>羽毛球退款</t>
    <phoneticPr fontId="1" type="noConversion"/>
  </si>
  <si>
    <t>微信</t>
    <phoneticPr fontId="1" type="noConversion"/>
  </si>
  <si>
    <t>买了一桶羽毛球（7/14退款了）</t>
    <phoneticPr fontId="1" type="noConversion"/>
  </si>
  <si>
    <t>微信</t>
    <phoneticPr fontId="1" type="noConversion"/>
  </si>
  <si>
    <t>共享单车</t>
    <phoneticPr fontId="1" type="noConversion"/>
  </si>
  <si>
    <t>白条</t>
    <phoneticPr fontId="1" type="noConversion"/>
  </si>
  <si>
    <t>晚餐</t>
    <phoneticPr fontId="1" type="noConversion"/>
  </si>
  <si>
    <t>京东外卖 微信返现5块 已合并计算</t>
    <phoneticPr fontId="1" type="noConversion"/>
  </si>
  <si>
    <t>高温补贴</t>
    <phoneticPr fontId="1" type="noConversion"/>
  </si>
  <si>
    <t>微信</t>
    <phoneticPr fontId="1" type="noConversion"/>
  </si>
  <si>
    <t>晚餐</t>
    <phoneticPr fontId="1" type="noConversion"/>
  </si>
  <si>
    <t>京东外卖</t>
    <phoneticPr fontId="1" type="noConversion"/>
  </si>
  <si>
    <t>微信</t>
    <phoneticPr fontId="1" type="noConversion"/>
  </si>
  <si>
    <t>零食饮料</t>
    <phoneticPr fontId="1" type="noConversion"/>
  </si>
  <si>
    <t>抖音买面包</t>
    <phoneticPr fontId="1" type="noConversion"/>
  </si>
  <si>
    <t>买衣服</t>
    <phoneticPr fontId="1" type="noConversion"/>
  </si>
  <si>
    <t>买工作服 pdd 先用后付</t>
    <phoneticPr fontId="1" type="noConversion"/>
  </si>
  <si>
    <t>手胶</t>
    <phoneticPr fontId="1" type="noConversion"/>
  </si>
  <si>
    <t>缓震膜</t>
    <phoneticPr fontId="1" type="noConversion"/>
  </si>
  <si>
    <t>缓震膜</t>
    <phoneticPr fontId="1" type="noConversion"/>
  </si>
  <si>
    <t>pdd 羽毛球拍缓震膜</t>
    <phoneticPr fontId="1" type="noConversion"/>
  </si>
  <si>
    <t>晚餐</t>
    <phoneticPr fontId="1" type="noConversion"/>
  </si>
  <si>
    <t>京东外卖</t>
    <phoneticPr fontId="1" type="noConversion"/>
  </si>
  <si>
    <t>研究生助学金</t>
    <phoneticPr fontId="1" type="noConversion"/>
  </si>
  <si>
    <t>工商银行卡</t>
    <phoneticPr fontId="1" type="noConversion"/>
  </si>
  <si>
    <t>微信</t>
    <phoneticPr fontId="1" type="noConversion"/>
  </si>
  <si>
    <t>pdd衣服退款</t>
    <phoneticPr fontId="1" type="noConversion"/>
  </si>
  <si>
    <t>微信</t>
    <phoneticPr fontId="1" type="noConversion"/>
  </si>
  <si>
    <t>早餐</t>
    <phoneticPr fontId="1" type="noConversion"/>
  </si>
  <si>
    <t>便利店买早餐</t>
    <phoneticPr fontId="1" type="noConversion"/>
  </si>
  <si>
    <t>共享单车</t>
    <phoneticPr fontId="1" type="noConversion"/>
  </si>
  <si>
    <t>共享单车</t>
    <phoneticPr fontId="1" type="noConversion"/>
  </si>
  <si>
    <t>早餐</t>
    <phoneticPr fontId="1" type="noConversion"/>
  </si>
  <si>
    <t>便利店买早餐</t>
    <phoneticPr fontId="1" type="noConversion"/>
  </si>
  <si>
    <t>生活用品</t>
    <phoneticPr fontId="1" type="noConversion"/>
  </si>
  <si>
    <t>京东买牙膏</t>
    <phoneticPr fontId="1" type="noConversion"/>
  </si>
  <si>
    <t>晚餐</t>
    <phoneticPr fontId="1" type="noConversion"/>
  </si>
  <si>
    <t>京东点外卖</t>
    <phoneticPr fontId="1" type="noConversion"/>
  </si>
  <si>
    <t>午餐</t>
    <phoneticPr fontId="1" type="noConversion"/>
  </si>
  <si>
    <t>桶装水</t>
    <phoneticPr fontId="1" type="noConversion"/>
  </si>
  <si>
    <t>美团买6L怡宝</t>
    <phoneticPr fontId="1" type="noConversion"/>
  </si>
  <si>
    <t>微信</t>
    <phoneticPr fontId="1" type="noConversion"/>
  </si>
  <si>
    <t>邮费</t>
    <phoneticPr fontId="1" type="noConversion"/>
  </si>
  <si>
    <t>淘宝退货的包装费</t>
    <phoneticPr fontId="1" type="noConversion"/>
  </si>
  <si>
    <t>午餐</t>
    <phoneticPr fontId="1" type="noConversion"/>
  </si>
  <si>
    <t>京东点外卖</t>
    <phoneticPr fontId="1" type="noConversion"/>
  </si>
  <si>
    <t>晚餐</t>
    <phoneticPr fontId="1" type="noConversion"/>
  </si>
  <si>
    <t>请舍友吃饭</t>
    <phoneticPr fontId="1" type="noConversion"/>
  </si>
  <si>
    <t>打台球</t>
    <phoneticPr fontId="1" type="noConversion"/>
  </si>
  <si>
    <t>共享单车</t>
    <phoneticPr fontId="1" type="noConversion"/>
  </si>
  <si>
    <t>晚餐</t>
    <phoneticPr fontId="1" type="noConversion"/>
  </si>
  <si>
    <t>淘宝点外卖</t>
    <phoneticPr fontId="1" type="noConversion"/>
  </si>
  <si>
    <t>晚餐</t>
    <phoneticPr fontId="1" type="noConversion"/>
  </si>
  <si>
    <t>淘宝点外卖</t>
    <phoneticPr fontId="1" type="noConversion"/>
  </si>
  <si>
    <t>支付宝</t>
    <phoneticPr fontId="1" type="noConversion"/>
  </si>
  <si>
    <t>支付宝</t>
    <phoneticPr fontId="1" type="noConversion"/>
  </si>
  <si>
    <t>宵夜</t>
    <phoneticPr fontId="1" type="noConversion"/>
  </si>
  <si>
    <t>淘宝点蜜雪冰城</t>
    <phoneticPr fontId="1" type="noConversion"/>
  </si>
  <si>
    <t>买车钱</t>
    <phoneticPr fontId="1" type="noConversion"/>
  </si>
  <si>
    <t>浦发行服 （7/21退款了）</t>
    <phoneticPr fontId="1" type="noConversion"/>
  </si>
  <si>
    <t>6月实习工资</t>
    <phoneticPr fontId="1" type="noConversion"/>
  </si>
  <si>
    <t>羽毛球退款</t>
    <phoneticPr fontId="1" type="noConversion"/>
  </si>
  <si>
    <t>微信</t>
    <phoneticPr fontId="1" type="noConversion"/>
  </si>
  <si>
    <t>抖音买瑜伽垫</t>
    <phoneticPr fontId="1" type="noConversion"/>
  </si>
  <si>
    <t>微信</t>
    <phoneticPr fontId="1" type="noConversion"/>
  </si>
  <si>
    <t>打车</t>
    <phoneticPr fontId="1" type="noConversion"/>
  </si>
  <si>
    <t>打车回宿舍</t>
    <phoneticPr fontId="1" type="noConversion"/>
  </si>
  <si>
    <t>支付宝</t>
    <phoneticPr fontId="1" type="noConversion"/>
  </si>
  <si>
    <t>晚餐</t>
    <phoneticPr fontId="1" type="noConversion"/>
  </si>
  <si>
    <t>淘宝点外卖</t>
    <phoneticPr fontId="1" type="noConversion"/>
  </si>
  <si>
    <t>支付宝 退到花呗</t>
    <phoneticPr fontId="1" type="noConversion"/>
  </si>
  <si>
    <t>pdd退货邮费（7/22退还）</t>
    <phoneticPr fontId="1" type="noConversion"/>
  </si>
  <si>
    <t>买羽毛球（7/22退款）</t>
    <phoneticPr fontId="1" type="noConversion"/>
  </si>
  <si>
    <t>买了一桶羽毛球（7/22退款）</t>
    <phoneticPr fontId="1" type="noConversion"/>
  </si>
  <si>
    <t>日总</t>
    <phoneticPr fontId="1" type="noConversion"/>
  </si>
  <si>
    <t>微信</t>
    <phoneticPr fontId="1" type="noConversion"/>
  </si>
  <si>
    <t>羽毛球场地费</t>
    <phoneticPr fontId="1" type="noConversion"/>
  </si>
  <si>
    <t>羽毛球场地费</t>
    <phoneticPr fontId="1" type="noConversion"/>
  </si>
  <si>
    <t>共享单车</t>
    <phoneticPr fontId="1" type="noConversion"/>
  </si>
  <si>
    <t>支付宝</t>
    <phoneticPr fontId="1" type="noConversion"/>
  </si>
  <si>
    <t>晚餐</t>
    <phoneticPr fontId="1" type="noConversion"/>
  </si>
  <si>
    <t>淘宝点外卖</t>
    <phoneticPr fontId="1" type="noConversion"/>
  </si>
  <si>
    <t>晚餐</t>
    <phoneticPr fontId="1" type="noConversion"/>
  </si>
  <si>
    <t>麦当劳</t>
    <phoneticPr fontId="1" type="noConversion"/>
  </si>
  <si>
    <t>微信</t>
    <phoneticPr fontId="1" type="noConversion"/>
  </si>
  <si>
    <t>早餐</t>
    <phoneticPr fontId="1" type="noConversion"/>
  </si>
  <si>
    <t>便利店买早餐</t>
    <phoneticPr fontId="1" type="noConversion"/>
  </si>
  <si>
    <t>微信</t>
    <phoneticPr fontId="1" type="noConversion"/>
  </si>
  <si>
    <t>共享单车</t>
    <phoneticPr fontId="1" type="noConversion"/>
  </si>
  <si>
    <t>共享单车骑行卡</t>
    <phoneticPr fontId="1" type="noConversion"/>
  </si>
  <si>
    <t>好评返现</t>
    <phoneticPr fontId="1" type="noConversion"/>
  </si>
  <si>
    <t>微信</t>
    <phoneticPr fontId="1" type="noConversion"/>
  </si>
  <si>
    <t>微信</t>
    <phoneticPr fontId="1" type="noConversion"/>
  </si>
  <si>
    <t>pdd邮费退还</t>
    <phoneticPr fontId="1" type="noConversion"/>
  </si>
  <si>
    <t>旧衣服回收</t>
    <phoneticPr fontId="1" type="noConversion"/>
  </si>
  <si>
    <t>微信</t>
    <phoneticPr fontId="1" type="noConversion"/>
  </si>
  <si>
    <t>晚餐</t>
    <phoneticPr fontId="1" type="noConversion"/>
  </si>
  <si>
    <t>京东点外卖 微信返现5块 已合并计算</t>
    <phoneticPr fontId="1" type="noConversion"/>
  </si>
  <si>
    <t>支付宝</t>
    <phoneticPr fontId="1" type="noConversion"/>
  </si>
  <si>
    <t>淘宝买 苗肤清 脚气药</t>
    <phoneticPr fontId="1" type="noConversion"/>
  </si>
  <si>
    <t>微信</t>
    <phoneticPr fontId="1" type="noConversion"/>
  </si>
  <si>
    <t>午餐</t>
    <phoneticPr fontId="1" type="noConversion"/>
  </si>
  <si>
    <t>京东点外卖</t>
    <phoneticPr fontId="1" type="noConversion"/>
  </si>
  <si>
    <t>支付宝</t>
    <phoneticPr fontId="1" type="noConversion"/>
  </si>
  <si>
    <t>晚餐</t>
    <phoneticPr fontId="1" type="noConversion"/>
  </si>
  <si>
    <t>淘宝点外卖</t>
    <phoneticPr fontId="1" type="noConversion"/>
  </si>
  <si>
    <t>支付宝</t>
    <phoneticPr fontId="1" type="noConversion"/>
  </si>
  <si>
    <t>零食饮料</t>
    <phoneticPr fontId="1" type="noConversion"/>
  </si>
  <si>
    <t>类别</t>
    <phoneticPr fontId="1" type="noConversion"/>
  </si>
  <si>
    <t>收入</t>
    <phoneticPr fontId="1" type="noConversion"/>
  </si>
  <si>
    <t>收入</t>
    <phoneticPr fontId="1" type="noConversion"/>
  </si>
  <si>
    <t>收入 家里给</t>
    <phoneticPr fontId="1" type="noConversion"/>
  </si>
  <si>
    <t>微信</t>
    <phoneticPr fontId="1" type="noConversion"/>
  </si>
  <si>
    <t>午餐</t>
    <phoneticPr fontId="1" type="noConversion"/>
  </si>
  <si>
    <t>京东点外卖</t>
    <phoneticPr fontId="1" type="noConversion"/>
  </si>
  <si>
    <t>支付宝</t>
    <phoneticPr fontId="1" type="noConversion"/>
  </si>
  <si>
    <t>零食饮料</t>
    <phoneticPr fontId="1" type="noConversion"/>
  </si>
  <si>
    <t>便利店买饮料</t>
    <phoneticPr fontId="1" type="noConversion"/>
  </si>
  <si>
    <t>便利店买饮料</t>
    <phoneticPr fontId="1" type="noConversion"/>
  </si>
  <si>
    <t>椅子坐垫</t>
    <phoneticPr fontId="1" type="noConversion"/>
  </si>
  <si>
    <t>微信</t>
    <phoneticPr fontId="1" type="noConversion"/>
  </si>
  <si>
    <t>京东买皮带</t>
    <phoneticPr fontId="1" type="noConversion"/>
  </si>
  <si>
    <t>晚餐</t>
    <phoneticPr fontId="1" type="noConversion"/>
  </si>
  <si>
    <t>京东点外卖</t>
    <phoneticPr fontId="1" type="noConversion"/>
  </si>
  <si>
    <t>抖音买自粘绷带</t>
    <phoneticPr fontId="1" type="noConversion"/>
  </si>
  <si>
    <t>微信</t>
    <phoneticPr fontId="1" type="noConversion"/>
  </si>
  <si>
    <t>早餐</t>
    <phoneticPr fontId="1" type="noConversion"/>
  </si>
  <si>
    <t>便利店买早餐</t>
    <phoneticPr fontId="1" type="noConversion"/>
  </si>
  <si>
    <t>晚餐</t>
    <phoneticPr fontId="1" type="noConversion"/>
  </si>
  <si>
    <t>京东点外卖（有返现已合并计算）</t>
    <phoneticPr fontId="1" type="noConversion"/>
  </si>
  <si>
    <t>微信</t>
    <phoneticPr fontId="1" type="noConversion"/>
  </si>
  <si>
    <t>早餐</t>
    <phoneticPr fontId="1" type="noConversion"/>
  </si>
  <si>
    <t>便利店买早餐</t>
    <phoneticPr fontId="1" type="noConversion"/>
  </si>
  <si>
    <t>支付宝</t>
    <phoneticPr fontId="1" type="noConversion"/>
  </si>
  <si>
    <t>晚餐</t>
    <phoneticPr fontId="1" type="noConversion"/>
  </si>
  <si>
    <t>淘宝点外卖</t>
    <phoneticPr fontId="1" type="noConversion"/>
  </si>
  <si>
    <t>微信</t>
    <phoneticPr fontId="1" type="noConversion"/>
  </si>
  <si>
    <t>买衣服</t>
    <phoneticPr fontId="1" type="noConversion"/>
  </si>
  <si>
    <t>pdd买浦发行服短袖 先用后付</t>
    <phoneticPr fontId="1" type="noConversion"/>
  </si>
  <si>
    <t>支付宝</t>
    <phoneticPr fontId="1" type="noConversion"/>
  </si>
  <si>
    <t>晚餐</t>
    <phoneticPr fontId="1" type="noConversion"/>
  </si>
  <si>
    <t>淘宝点外卖</t>
    <phoneticPr fontId="1" type="noConversion"/>
  </si>
  <si>
    <t>微信</t>
    <phoneticPr fontId="1" type="noConversion"/>
  </si>
  <si>
    <t>早餐</t>
    <phoneticPr fontId="1" type="noConversion"/>
  </si>
  <si>
    <t>便利店买早餐</t>
    <phoneticPr fontId="1" type="noConversion"/>
  </si>
  <si>
    <t>微信</t>
    <phoneticPr fontId="1" type="noConversion"/>
  </si>
  <si>
    <t>羽毛球场地费</t>
    <phoneticPr fontId="1" type="noConversion"/>
  </si>
  <si>
    <t>微信</t>
    <phoneticPr fontId="1" type="noConversion"/>
  </si>
  <si>
    <t>晚餐</t>
    <phoneticPr fontId="1" type="noConversion"/>
  </si>
  <si>
    <t>京东点外卖</t>
    <phoneticPr fontId="1" type="noConversion"/>
  </si>
  <si>
    <t>7月水电+物业</t>
    <phoneticPr fontId="1" type="noConversion"/>
  </si>
  <si>
    <t>水电+物业+宽带</t>
    <phoneticPr fontId="1" type="noConversion"/>
  </si>
  <si>
    <t>微信</t>
    <phoneticPr fontId="1" type="noConversion"/>
  </si>
  <si>
    <t>零食饮料</t>
    <phoneticPr fontId="1" type="noConversion"/>
  </si>
  <si>
    <t>支付宝</t>
    <phoneticPr fontId="1" type="noConversion"/>
  </si>
  <si>
    <t>共享单车</t>
    <phoneticPr fontId="1" type="noConversion"/>
  </si>
  <si>
    <t>微信</t>
    <phoneticPr fontId="1" type="noConversion"/>
  </si>
  <si>
    <t>午餐</t>
    <phoneticPr fontId="1" type="noConversion"/>
  </si>
  <si>
    <t>京东点外卖</t>
    <phoneticPr fontId="1" type="noConversion"/>
  </si>
  <si>
    <t>微信</t>
    <phoneticPr fontId="1" type="noConversion"/>
  </si>
  <si>
    <t>零食饮料</t>
    <phoneticPr fontId="1" type="noConversion"/>
  </si>
  <si>
    <t>打羽毛球买饮料</t>
    <phoneticPr fontId="1" type="noConversion"/>
  </si>
  <si>
    <t>打羽毛球买饮料</t>
    <phoneticPr fontId="1" type="noConversion"/>
  </si>
  <si>
    <t>微信</t>
    <phoneticPr fontId="1" type="noConversion"/>
  </si>
  <si>
    <t>晚餐</t>
    <phoneticPr fontId="1" type="noConversion"/>
  </si>
  <si>
    <t>京东点外卖</t>
    <phoneticPr fontId="1" type="noConversion"/>
  </si>
  <si>
    <t>微信</t>
    <phoneticPr fontId="1" type="noConversion"/>
  </si>
  <si>
    <t>早餐</t>
    <phoneticPr fontId="1" type="noConversion"/>
  </si>
  <si>
    <t>便利店买早餐</t>
    <phoneticPr fontId="1" type="noConversion"/>
  </si>
  <si>
    <t>陈家祠门票</t>
    <phoneticPr fontId="1" type="noConversion"/>
  </si>
  <si>
    <t>支付宝</t>
    <phoneticPr fontId="1" type="noConversion"/>
  </si>
  <si>
    <t>共享单车</t>
    <phoneticPr fontId="1" type="noConversion"/>
  </si>
  <si>
    <t>共享单车</t>
    <phoneticPr fontId="1" type="noConversion"/>
  </si>
  <si>
    <t>打车</t>
    <phoneticPr fontId="1" type="noConversion"/>
  </si>
  <si>
    <t>公司拍视频打车</t>
    <phoneticPr fontId="1" type="noConversion"/>
  </si>
  <si>
    <t>支付宝</t>
    <phoneticPr fontId="1" type="noConversion"/>
  </si>
  <si>
    <t>晚餐</t>
    <phoneticPr fontId="1" type="noConversion"/>
  </si>
  <si>
    <t>淘宝点外卖</t>
    <phoneticPr fontId="1" type="noConversion"/>
  </si>
  <si>
    <t>微信</t>
    <phoneticPr fontId="1" type="noConversion"/>
  </si>
  <si>
    <t>打车去分行培训</t>
    <phoneticPr fontId="1" type="noConversion"/>
  </si>
  <si>
    <t>微信</t>
    <phoneticPr fontId="1" type="noConversion"/>
  </si>
  <si>
    <t>京东点外卖</t>
    <phoneticPr fontId="1" type="noConversion"/>
  </si>
  <si>
    <t>早餐</t>
    <phoneticPr fontId="1" type="noConversion"/>
  </si>
  <si>
    <t>便利店买早餐</t>
    <phoneticPr fontId="1" type="noConversion"/>
  </si>
  <si>
    <t>晚餐</t>
    <phoneticPr fontId="1" type="noConversion"/>
  </si>
  <si>
    <t>京东点外卖</t>
    <phoneticPr fontId="1" type="noConversion"/>
  </si>
  <si>
    <t>退回</t>
    <phoneticPr fontId="1" type="noConversion"/>
  </si>
  <si>
    <t>退回</t>
    <phoneticPr fontId="1" type="noConversion"/>
  </si>
  <si>
    <t>退回</t>
    <phoneticPr fontId="1" type="noConversion"/>
  </si>
  <si>
    <t>退回</t>
    <phoneticPr fontId="1" type="noConversion"/>
  </si>
  <si>
    <t>退回</t>
    <phoneticPr fontId="1" type="noConversion"/>
  </si>
  <si>
    <t>公司拍视频花费报销</t>
    <phoneticPr fontId="1" type="noConversion"/>
  </si>
  <si>
    <t>微信</t>
    <phoneticPr fontId="1" type="noConversion"/>
  </si>
  <si>
    <t>收入</t>
    <phoneticPr fontId="1" type="noConversion"/>
  </si>
  <si>
    <t>8月工资</t>
    <phoneticPr fontId="1" type="noConversion"/>
  </si>
  <si>
    <t>微信</t>
    <phoneticPr fontId="1" type="noConversion"/>
  </si>
  <si>
    <t>早餐</t>
    <phoneticPr fontId="1" type="noConversion"/>
  </si>
  <si>
    <t>便利店买早餐</t>
    <phoneticPr fontId="1" type="noConversion"/>
  </si>
  <si>
    <t>打车</t>
    <phoneticPr fontId="1" type="noConversion"/>
  </si>
  <si>
    <t>打车去分行培训</t>
    <phoneticPr fontId="1" type="noConversion"/>
  </si>
  <si>
    <t>微信</t>
    <phoneticPr fontId="1" type="noConversion"/>
  </si>
  <si>
    <t>买鞋刷</t>
    <phoneticPr fontId="1" type="noConversion"/>
  </si>
  <si>
    <t>微信</t>
    <phoneticPr fontId="1" type="noConversion"/>
  </si>
  <si>
    <t>打车</t>
    <phoneticPr fontId="1" type="noConversion"/>
  </si>
  <si>
    <t>打车回宿舍</t>
    <phoneticPr fontId="1" type="noConversion"/>
  </si>
  <si>
    <t>宵夜</t>
    <phoneticPr fontId="1" type="noConversion"/>
  </si>
  <si>
    <t>京东点外卖</t>
    <phoneticPr fontId="1" type="noConversion"/>
  </si>
  <si>
    <t>便利店买早餐</t>
    <phoneticPr fontId="1" type="noConversion"/>
  </si>
  <si>
    <t>QQ音乐会员</t>
    <phoneticPr fontId="1" type="noConversion"/>
  </si>
  <si>
    <t>支付宝</t>
    <phoneticPr fontId="1" type="noConversion"/>
  </si>
  <si>
    <t>晚餐</t>
    <phoneticPr fontId="1" type="noConversion"/>
  </si>
  <si>
    <t>淘宝点外卖</t>
    <phoneticPr fontId="1" type="noConversion"/>
  </si>
  <si>
    <t>微信</t>
    <phoneticPr fontId="1" type="noConversion"/>
  </si>
  <si>
    <t>午餐</t>
    <phoneticPr fontId="1" type="noConversion"/>
  </si>
  <si>
    <t>京东点外卖</t>
    <phoneticPr fontId="1" type="noConversion"/>
  </si>
  <si>
    <t>微信</t>
    <phoneticPr fontId="1" type="noConversion"/>
  </si>
  <si>
    <t>零食饮料</t>
    <phoneticPr fontId="1" type="noConversion"/>
  </si>
  <si>
    <t>微信</t>
    <phoneticPr fontId="1" type="noConversion"/>
  </si>
  <si>
    <t>京东买素毛肚</t>
    <phoneticPr fontId="1" type="noConversion"/>
  </si>
  <si>
    <t>京东买玉米肠</t>
    <phoneticPr fontId="1" type="noConversion"/>
  </si>
  <si>
    <t>支付宝</t>
    <phoneticPr fontId="1" type="noConversion"/>
  </si>
  <si>
    <t>午餐</t>
    <phoneticPr fontId="1" type="noConversion"/>
  </si>
  <si>
    <t>淘宝点外卖</t>
    <phoneticPr fontId="1" type="noConversion"/>
  </si>
  <si>
    <t>支付宝</t>
    <phoneticPr fontId="1" type="noConversion"/>
  </si>
  <si>
    <t>晚餐</t>
    <phoneticPr fontId="1" type="noConversion"/>
  </si>
  <si>
    <t>话费</t>
    <phoneticPr fontId="1" type="noConversion"/>
  </si>
  <si>
    <t>给159充话费</t>
    <phoneticPr fontId="1" type="noConversion"/>
  </si>
  <si>
    <t>早餐</t>
    <phoneticPr fontId="1" type="noConversion"/>
  </si>
  <si>
    <t>买早餐</t>
    <phoneticPr fontId="1" type="noConversion"/>
  </si>
  <si>
    <t>晚餐</t>
    <phoneticPr fontId="1" type="noConversion"/>
  </si>
  <si>
    <t>淘宝点外卖</t>
    <phoneticPr fontId="1" type="noConversion"/>
  </si>
  <si>
    <t>收入</t>
    <phoneticPr fontId="1" type="noConversion"/>
  </si>
  <si>
    <t>微信</t>
    <phoneticPr fontId="1" type="noConversion"/>
  </si>
  <si>
    <t>早餐</t>
    <phoneticPr fontId="1" type="noConversion"/>
  </si>
  <si>
    <t>便利店买早餐</t>
    <phoneticPr fontId="1" type="noConversion"/>
  </si>
  <si>
    <t>打车</t>
    <phoneticPr fontId="1" type="noConversion"/>
  </si>
  <si>
    <t>微信</t>
    <phoneticPr fontId="1" type="noConversion"/>
  </si>
  <si>
    <t>打车回宿舍</t>
    <phoneticPr fontId="1" type="noConversion"/>
  </si>
  <si>
    <t>微信</t>
    <phoneticPr fontId="1" type="noConversion"/>
  </si>
  <si>
    <t>早餐</t>
    <phoneticPr fontId="1" type="noConversion"/>
  </si>
  <si>
    <t>出外勤早餐买肠粉</t>
    <phoneticPr fontId="1" type="noConversion"/>
  </si>
  <si>
    <t>零食饮料</t>
    <phoneticPr fontId="1" type="noConversion"/>
  </si>
  <si>
    <t>出外勤买水</t>
    <phoneticPr fontId="1" type="noConversion"/>
  </si>
  <si>
    <t>买云南白药喷雾</t>
    <phoneticPr fontId="1" type="noConversion"/>
  </si>
  <si>
    <t>晚餐</t>
    <phoneticPr fontId="1" type="noConversion"/>
  </si>
  <si>
    <t>京东点外卖</t>
    <phoneticPr fontId="1" type="noConversion"/>
  </si>
  <si>
    <t>微信</t>
    <phoneticPr fontId="1" type="noConversion"/>
  </si>
  <si>
    <t>便利店买早餐</t>
    <phoneticPr fontId="1" type="noConversion"/>
  </si>
  <si>
    <t>微信</t>
    <phoneticPr fontId="1" type="noConversion"/>
  </si>
  <si>
    <t>打车</t>
    <phoneticPr fontId="1" type="noConversion"/>
  </si>
  <si>
    <t>打车回宿舍</t>
    <phoneticPr fontId="1" type="noConversion"/>
  </si>
  <si>
    <t>微信</t>
    <phoneticPr fontId="1" type="noConversion"/>
  </si>
  <si>
    <t>晚餐</t>
    <phoneticPr fontId="1" type="noConversion"/>
  </si>
  <si>
    <t>晚餐翱翔球馆附近买鸡蛋仔</t>
    <phoneticPr fontId="1" type="noConversion"/>
  </si>
  <si>
    <t>微信</t>
    <phoneticPr fontId="1" type="noConversion"/>
  </si>
  <si>
    <t>岭南通充值</t>
    <phoneticPr fontId="1" type="noConversion"/>
  </si>
  <si>
    <t>支付宝</t>
    <phoneticPr fontId="1" type="noConversion"/>
  </si>
  <si>
    <t>共享单车</t>
    <phoneticPr fontId="1" type="noConversion"/>
  </si>
  <si>
    <t>哈罗共享单车开卡</t>
    <phoneticPr fontId="1" type="noConversion"/>
  </si>
  <si>
    <t>支付宝</t>
    <phoneticPr fontId="1" type="noConversion"/>
  </si>
  <si>
    <t>打球回来买雪碧</t>
    <phoneticPr fontId="1" type="noConversion"/>
  </si>
  <si>
    <t>淘宝买pikpak会员</t>
    <phoneticPr fontId="1" type="noConversion"/>
  </si>
  <si>
    <t>微信</t>
    <phoneticPr fontId="1" type="noConversion"/>
  </si>
  <si>
    <t>午餐</t>
    <phoneticPr fontId="1" type="noConversion"/>
  </si>
  <si>
    <t>京东点外卖</t>
    <phoneticPr fontId="1" type="noConversion"/>
  </si>
  <si>
    <t>微信</t>
    <phoneticPr fontId="1" type="noConversion"/>
  </si>
  <si>
    <t>打完球吃饭买大瓶可乐</t>
    <phoneticPr fontId="1" type="noConversion"/>
  </si>
  <si>
    <t>微信</t>
    <phoneticPr fontId="1" type="noConversion"/>
  </si>
  <si>
    <t>京东买洁厕灵和马桶刷</t>
    <phoneticPr fontId="1" type="noConversion"/>
  </si>
  <si>
    <t>微信</t>
    <phoneticPr fontId="1" type="noConversion"/>
  </si>
  <si>
    <t>买饮料</t>
    <phoneticPr fontId="1" type="noConversion"/>
  </si>
  <si>
    <t>早餐</t>
    <phoneticPr fontId="1" type="noConversion"/>
  </si>
  <si>
    <t>便利店买早餐</t>
    <phoneticPr fontId="1" type="noConversion"/>
  </si>
  <si>
    <t>晚餐</t>
    <phoneticPr fontId="1" type="noConversion"/>
  </si>
  <si>
    <t>京东点外卖</t>
    <phoneticPr fontId="1" type="noConversion"/>
  </si>
  <si>
    <t>微信</t>
    <phoneticPr fontId="1" type="noConversion"/>
  </si>
  <si>
    <t>早餐</t>
    <phoneticPr fontId="1" type="noConversion"/>
  </si>
  <si>
    <t>出外勤买早餐</t>
    <phoneticPr fontId="1" type="noConversion"/>
  </si>
  <si>
    <t>微信</t>
    <phoneticPr fontId="1" type="noConversion"/>
  </si>
  <si>
    <t>打车</t>
    <phoneticPr fontId="1" type="noConversion"/>
  </si>
  <si>
    <t>打车回宿舍</t>
    <phoneticPr fontId="1" type="noConversion"/>
  </si>
  <si>
    <t>微信</t>
    <phoneticPr fontId="1" type="noConversion"/>
  </si>
  <si>
    <t>便利店买早餐</t>
    <phoneticPr fontId="1" type="noConversion"/>
  </si>
  <si>
    <t>pdd买零食 先用后付</t>
    <phoneticPr fontId="1" type="noConversion"/>
  </si>
  <si>
    <t>支付宝</t>
    <phoneticPr fontId="1" type="noConversion"/>
  </si>
  <si>
    <t>晚餐</t>
    <phoneticPr fontId="1" type="noConversion"/>
  </si>
  <si>
    <t>淘宝点外卖</t>
    <phoneticPr fontId="1" type="noConversion"/>
  </si>
  <si>
    <t>早餐</t>
    <phoneticPr fontId="1" type="noConversion"/>
  </si>
  <si>
    <t>出外勤买早餐</t>
    <phoneticPr fontId="1" type="noConversion"/>
  </si>
  <si>
    <t>尔湾云充值</t>
    <phoneticPr fontId="1" type="noConversion"/>
  </si>
  <si>
    <t>出外勤买早餐</t>
    <phoneticPr fontId="1" type="noConversion"/>
  </si>
  <si>
    <t>午餐</t>
  </si>
  <si>
    <t>午餐</t>
    <phoneticPr fontId="1" type="noConversion"/>
  </si>
  <si>
    <t>京东点外卖</t>
    <phoneticPr fontId="1" type="noConversion"/>
  </si>
  <si>
    <t>桶装水</t>
    <phoneticPr fontId="1" type="noConversion"/>
  </si>
  <si>
    <t>京东买6L怡宝</t>
    <phoneticPr fontId="1" type="noConversion"/>
  </si>
  <si>
    <t>京东买沐浴露</t>
    <phoneticPr fontId="1" type="noConversion"/>
  </si>
  <si>
    <t>午餐</t>
    <phoneticPr fontId="1" type="noConversion"/>
  </si>
  <si>
    <t>晚餐</t>
  </si>
  <si>
    <t>晚餐</t>
    <phoneticPr fontId="1" type="noConversion"/>
  </si>
  <si>
    <t>羽毛球场地费</t>
    <phoneticPr fontId="1" type="noConversion"/>
  </si>
  <si>
    <t>羽毛球球费</t>
    <phoneticPr fontId="1" type="noConversion"/>
  </si>
  <si>
    <t>淘宝点外卖</t>
    <phoneticPr fontId="1" type="noConversion"/>
  </si>
  <si>
    <t>零食饮料</t>
    <phoneticPr fontId="1" type="noConversion"/>
  </si>
  <si>
    <t>打完羽毛球买饮料</t>
    <phoneticPr fontId="1" type="noConversion"/>
  </si>
  <si>
    <t>早餐</t>
    <phoneticPr fontId="1" type="noConversion"/>
  </si>
  <si>
    <t>便利店买早餐</t>
    <phoneticPr fontId="1" type="noConversion"/>
  </si>
  <si>
    <t>收红包</t>
    <phoneticPr fontId="1" type="noConversion"/>
  </si>
  <si>
    <t>微信</t>
    <phoneticPr fontId="1" type="noConversion"/>
  </si>
  <si>
    <t>晚餐</t>
    <phoneticPr fontId="1" type="noConversion"/>
  </si>
  <si>
    <t>出差晚餐</t>
  </si>
  <si>
    <t>出差晚餐</t>
    <phoneticPr fontId="1" type="noConversion"/>
  </si>
  <si>
    <t>午餐</t>
    <phoneticPr fontId="1" type="noConversion"/>
  </si>
  <si>
    <t>出差午餐</t>
  </si>
  <si>
    <t>出差午餐</t>
    <phoneticPr fontId="1" type="noConversion"/>
  </si>
  <si>
    <t>宵夜</t>
    <phoneticPr fontId="1" type="noConversion"/>
  </si>
  <si>
    <t>出差宵夜</t>
    <phoneticPr fontId="1" type="noConversion"/>
  </si>
  <si>
    <t>打顺风车高速费</t>
    <phoneticPr fontId="1" type="noConversion"/>
  </si>
  <si>
    <t>京东点外卖</t>
    <phoneticPr fontId="1" type="noConversion"/>
  </si>
  <si>
    <t>羽毛球球费</t>
    <phoneticPr fontId="1" type="noConversion"/>
  </si>
  <si>
    <t>羽毛球场地费</t>
    <phoneticPr fontId="1" type="noConversion"/>
  </si>
  <si>
    <t>晚餐</t>
    <phoneticPr fontId="1" type="noConversion"/>
  </si>
  <si>
    <t>八合里牛肉火锅</t>
    <phoneticPr fontId="1" type="noConversion"/>
  </si>
  <si>
    <t>早餐</t>
    <phoneticPr fontId="1" type="noConversion"/>
  </si>
  <si>
    <t>便利店买早餐</t>
    <phoneticPr fontId="1" type="noConversion"/>
  </si>
  <si>
    <t>晚餐</t>
    <phoneticPr fontId="1" type="noConversion"/>
  </si>
  <si>
    <t>京东点外卖</t>
    <phoneticPr fontId="1" type="noConversion"/>
  </si>
  <si>
    <t>早餐</t>
    <phoneticPr fontId="1" type="noConversion"/>
  </si>
  <si>
    <t>便利店买早餐</t>
    <phoneticPr fontId="1" type="noConversion"/>
  </si>
  <si>
    <t>团费</t>
    <phoneticPr fontId="1" type="noConversion"/>
  </si>
  <si>
    <t>早餐</t>
    <phoneticPr fontId="1" type="noConversion"/>
  </si>
  <si>
    <t>晚餐</t>
    <phoneticPr fontId="1" type="noConversion"/>
  </si>
  <si>
    <t>京东点外卖</t>
    <phoneticPr fontId="1" type="noConversion"/>
  </si>
  <si>
    <t>抖音月付</t>
  </si>
  <si>
    <t>羽毛球线和羽毛球袜</t>
    <phoneticPr fontId="1" type="noConversion"/>
  </si>
  <si>
    <t>早餐</t>
    <phoneticPr fontId="1" type="noConversion"/>
  </si>
  <si>
    <t>便利店买早餐</t>
    <phoneticPr fontId="1" type="noConversion"/>
  </si>
  <si>
    <t>买羽毛球</t>
    <phoneticPr fontId="1" type="noConversion"/>
  </si>
  <si>
    <t>桶装水</t>
    <phoneticPr fontId="1" type="noConversion"/>
  </si>
  <si>
    <t>晚餐</t>
    <phoneticPr fontId="1" type="noConversion"/>
  </si>
  <si>
    <t>白条</t>
  </si>
  <si>
    <t>显示器转换器</t>
    <phoneticPr fontId="1" type="noConversion"/>
  </si>
  <si>
    <t>9月工资</t>
    <phoneticPr fontId="1" type="noConversion"/>
  </si>
  <si>
    <t>京东点外卖先用后付</t>
    <phoneticPr fontId="1" type="noConversion"/>
  </si>
  <si>
    <t>午餐</t>
    <phoneticPr fontId="1" type="noConversion"/>
  </si>
  <si>
    <t>午餐</t>
    <phoneticPr fontId="1" type="noConversion"/>
  </si>
  <si>
    <t>冰块</t>
    <phoneticPr fontId="1" type="noConversion"/>
  </si>
  <si>
    <t>零食饮料</t>
    <phoneticPr fontId="1" type="noConversion"/>
  </si>
  <si>
    <t>京东买药</t>
    <phoneticPr fontId="1" type="noConversion"/>
  </si>
  <si>
    <t>午餐</t>
    <phoneticPr fontId="1" type="noConversion"/>
  </si>
  <si>
    <t>打羽毛球买饮料</t>
    <phoneticPr fontId="1" type="noConversion"/>
  </si>
  <si>
    <t>饮水机打水</t>
    <phoneticPr fontId="1" type="noConversion"/>
  </si>
  <si>
    <t>晚餐</t>
    <phoneticPr fontId="1" type="noConversion"/>
  </si>
  <si>
    <t>打完羽毛球吃晚饭</t>
    <phoneticPr fontId="1" type="noConversion"/>
  </si>
  <si>
    <t>买羽毛球服</t>
    <phoneticPr fontId="1" type="noConversion"/>
  </si>
  <si>
    <t>早餐</t>
    <phoneticPr fontId="1" type="noConversion"/>
  </si>
  <si>
    <t>便利店买早餐</t>
    <phoneticPr fontId="1" type="noConversion"/>
  </si>
  <si>
    <t>零食饮料</t>
    <phoneticPr fontId="1" type="noConversion"/>
  </si>
  <si>
    <t>打完羽毛球喝糖水</t>
    <phoneticPr fontId="1" type="noConversion"/>
  </si>
  <si>
    <t>晚餐</t>
    <phoneticPr fontId="1" type="noConversion"/>
  </si>
  <si>
    <t>京东买雨伞</t>
    <phoneticPr fontId="1" type="noConversion"/>
  </si>
  <si>
    <t>羽毛球场地费</t>
    <phoneticPr fontId="1" type="noConversion"/>
  </si>
  <si>
    <t>共享单车</t>
    <phoneticPr fontId="1" type="noConversion"/>
  </si>
  <si>
    <t>便利店买早餐</t>
    <phoneticPr fontId="1" type="noConversion"/>
  </si>
  <si>
    <t>早餐</t>
    <phoneticPr fontId="1" type="noConversion"/>
  </si>
  <si>
    <t>漂白剂</t>
    <phoneticPr fontId="1" type="noConversion"/>
  </si>
  <si>
    <t>晚餐</t>
    <phoneticPr fontId="1" type="noConversion"/>
  </si>
  <si>
    <t>京东点外卖</t>
    <phoneticPr fontId="1" type="noConversion"/>
  </si>
  <si>
    <t>收入</t>
    <phoneticPr fontId="1" type="noConversion"/>
  </si>
  <si>
    <t>早餐</t>
    <phoneticPr fontId="1" type="noConversion"/>
  </si>
  <si>
    <t>晚餐</t>
    <phoneticPr fontId="1" type="noConversion"/>
  </si>
  <si>
    <t>早餐</t>
    <phoneticPr fontId="1" type="noConversion"/>
  </si>
  <si>
    <t>羽毛球场地费</t>
    <phoneticPr fontId="1" type="noConversion"/>
  </si>
  <si>
    <t>晚餐</t>
    <phoneticPr fontId="1" type="noConversion"/>
  </si>
  <si>
    <t>抖音买双面胶</t>
    <phoneticPr fontId="1" type="noConversion"/>
  </si>
  <si>
    <t>pdd买桌面显示器增高架</t>
    <phoneticPr fontId="1" type="noConversion"/>
  </si>
  <si>
    <t>网易云会员</t>
    <phoneticPr fontId="1" type="noConversion"/>
  </si>
  <si>
    <t>pdd退款运费</t>
    <phoneticPr fontId="1" type="noConversion"/>
  </si>
  <si>
    <t>退回</t>
    <phoneticPr fontId="1" type="noConversion"/>
  </si>
  <si>
    <t>pdd衣服退款</t>
    <phoneticPr fontId="1" type="noConversion"/>
  </si>
  <si>
    <t>支付宝</t>
    <phoneticPr fontId="1" type="noConversion"/>
  </si>
  <si>
    <t>共享单车</t>
    <phoneticPr fontId="1" type="noConversion"/>
  </si>
  <si>
    <t>共享单车</t>
    <phoneticPr fontId="1" type="noConversion"/>
  </si>
  <si>
    <t>零食饮料</t>
    <phoneticPr fontId="1" type="noConversion"/>
  </si>
  <si>
    <t>菠萝啤</t>
    <phoneticPr fontId="1" type="noConversion"/>
  </si>
  <si>
    <t>零食饮料</t>
    <phoneticPr fontId="1" type="noConversion"/>
  </si>
  <si>
    <t>京东 宏香记 牛肉豆脯</t>
    <phoneticPr fontId="1" type="noConversion"/>
  </si>
  <si>
    <t>退回</t>
    <phoneticPr fontId="1" type="noConversion"/>
  </si>
  <si>
    <t>羽毛球收场地费</t>
    <phoneticPr fontId="1" type="noConversion"/>
  </si>
  <si>
    <t>微信</t>
    <phoneticPr fontId="1" type="noConversion"/>
  </si>
  <si>
    <t>晚餐</t>
    <phoneticPr fontId="1" type="noConversion"/>
  </si>
  <si>
    <t>京东点外卖</t>
    <phoneticPr fontId="1" type="noConversion"/>
  </si>
  <si>
    <t>早餐</t>
    <phoneticPr fontId="1" type="noConversion"/>
  </si>
  <si>
    <t>便利店买早餐</t>
    <phoneticPr fontId="1" type="noConversion"/>
  </si>
  <si>
    <t>晚餐</t>
    <phoneticPr fontId="1" type="noConversion"/>
  </si>
  <si>
    <t>嘉记瓦缸烧鹅</t>
    <phoneticPr fontId="1" type="noConversion"/>
  </si>
  <si>
    <t>京东钱包</t>
    <phoneticPr fontId="1" type="noConversion"/>
  </si>
  <si>
    <t>理财投资</t>
    <phoneticPr fontId="1" type="noConversion"/>
  </si>
  <si>
    <t>收入</t>
    <phoneticPr fontId="1" type="noConversion"/>
  </si>
  <si>
    <t>存款利息</t>
    <phoneticPr fontId="1" type="noConversion"/>
  </si>
  <si>
    <t>农信银行卡</t>
    <phoneticPr fontId="1" type="noConversion"/>
  </si>
  <si>
    <t>午餐</t>
    <phoneticPr fontId="1" type="noConversion"/>
  </si>
  <si>
    <t>京东点外卖</t>
    <phoneticPr fontId="1" type="noConversion"/>
  </si>
  <si>
    <t>给人赞赏</t>
    <phoneticPr fontId="1" type="noConversion"/>
  </si>
  <si>
    <t>晚餐</t>
    <phoneticPr fontId="1" type="noConversion"/>
  </si>
  <si>
    <t>京东点外卖</t>
    <phoneticPr fontId="1" type="noConversion"/>
  </si>
  <si>
    <t>早餐</t>
    <phoneticPr fontId="1" type="noConversion"/>
  </si>
  <si>
    <t>便利店买早餐</t>
    <phoneticPr fontId="1" type="noConversion"/>
  </si>
  <si>
    <t>浦发APP买牙膏</t>
    <phoneticPr fontId="1" type="noConversion"/>
  </si>
  <si>
    <t>共享单车</t>
    <phoneticPr fontId="1" type="noConversion"/>
  </si>
  <si>
    <t>共享单车</t>
    <phoneticPr fontId="1" type="noConversion"/>
  </si>
  <si>
    <t>晚餐</t>
    <phoneticPr fontId="1" type="noConversion"/>
  </si>
  <si>
    <t>便利店买早餐</t>
    <phoneticPr fontId="1" type="noConversion"/>
  </si>
  <si>
    <t>微信</t>
    <phoneticPr fontId="1" type="noConversion"/>
  </si>
  <si>
    <t>晚餐</t>
    <phoneticPr fontId="1" type="noConversion"/>
  </si>
  <si>
    <t>京东点外卖</t>
    <phoneticPr fontId="1" type="noConversion"/>
  </si>
  <si>
    <t>晚餐</t>
    <phoneticPr fontId="1" type="noConversion"/>
  </si>
  <si>
    <t>培训完花城汇吃晚饭</t>
    <phoneticPr fontId="1" type="noConversion"/>
  </si>
  <si>
    <t>半年鑫最短持有期18号A</t>
    <phoneticPr fontId="1" type="noConversion"/>
  </si>
  <si>
    <t>早餐</t>
    <phoneticPr fontId="1" type="noConversion"/>
  </si>
  <si>
    <t>珠江新城买早餐</t>
    <phoneticPr fontId="1" type="noConversion"/>
  </si>
  <si>
    <t>晚餐</t>
    <phoneticPr fontId="1" type="noConversion"/>
  </si>
  <si>
    <t>大学城东北菜</t>
    <phoneticPr fontId="1" type="noConversion"/>
  </si>
  <si>
    <t>打台球</t>
    <phoneticPr fontId="1" type="noConversion"/>
  </si>
  <si>
    <t>午餐</t>
    <phoneticPr fontId="1" type="noConversion"/>
  </si>
  <si>
    <t>京东点外卖</t>
    <phoneticPr fontId="1" type="noConversion"/>
  </si>
  <si>
    <t>晚餐</t>
    <phoneticPr fontId="1" type="noConversion"/>
  </si>
  <si>
    <t>收入</t>
    <phoneticPr fontId="1" type="noConversion"/>
  </si>
  <si>
    <t>出差报销</t>
    <phoneticPr fontId="1" type="noConversion"/>
  </si>
  <si>
    <t>给家里发红包</t>
    <phoneticPr fontId="1" type="noConversion"/>
  </si>
  <si>
    <t>余额宝</t>
    <phoneticPr fontId="1" type="noConversion"/>
  </si>
  <si>
    <t>浦发银行卡</t>
  </si>
  <si>
    <t>浦发银行卡</t>
    <phoneticPr fontId="1" type="noConversion"/>
  </si>
  <si>
    <t>ATM取现</t>
    <phoneticPr fontId="1" type="noConversion"/>
  </si>
  <si>
    <t>早餐</t>
    <phoneticPr fontId="1" type="noConversion"/>
  </si>
  <si>
    <t>便利店买早餐</t>
    <phoneticPr fontId="1" type="noConversion"/>
  </si>
  <si>
    <t>晚餐</t>
    <phoneticPr fontId="1" type="noConversion"/>
  </si>
  <si>
    <t>早餐</t>
    <phoneticPr fontId="1" type="noConversion"/>
  </si>
  <si>
    <t>便利店买早餐</t>
    <phoneticPr fontId="1" type="noConversion"/>
  </si>
  <si>
    <t>晚餐</t>
    <phoneticPr fontId="1" type="noConversion"/>
  </si>
  <si>
    <t>京东点外卖</t>
    <phoneticPr fontId="1" type="noConversion"/>
  </si>
  <si>
    <t>零食饮料</t>
    <phoneticPr fontId="1" type="noConversion"/>
  </si>
  <si>
    <t>台风天买物资</t>
    <phoneticPr fontId="1" type="noConversion"/>
  </si>
  <si>
    <t>京东点外卖</t>
    <phoneticPr fontId="1" type="noConversion"/>
  </si>
  <si>
    <t>晚餐</t>
    <phoneticPr fontId="1" type="noConversion"/>
  </si>
  <si>
    <t>工商银行积存贵金属</t>
    <phoneticPr fontId="1" type="noConversion"/>
  </si>
  <si>
    <t>收入</t>
    <phoneticPr fontId="1" type="noConversion"/>
  </si>
  <si>
    <t>国庆过节费</t>
    <phoneticPr fontId="1" type="noConversion"/>
  </si>
  <si>
    <t>微信</t>
    <phoneticPr fontId="1" type="noConversion"/>
  </si>
  <si>
    <t>零食饮料</t>
    <phoneticPr fontId="1" type="noConversion"/>
  </si>
  <si>
    <t>打羽毛球买水</t>
    <phoneticPr fontId="1" type="noConversion"/>
  </si>
  <si>
    <t>微信</t>
    <phoneticPr fontId="1" type="noConversion"/>
  </si>
  <si>
    <t>打完羽毛球喝糖水</t>
    <phoneticPr fontId="1" type="noConversion"/>
  </si>
  <si>
    <t>微信</t>
    <phoneticPr fontId="1" type="noConversion"/>
  </si>
  <si>
    <t>羽毛球场地费</t>
    <phoneticPr fontId="1" type="noConversion"/>
  </si>
  <si>
    <t>微信</t>
    <phoneticPr fontId="1" type="noConversion"/>
  </si>
  <si>
    <t>晚餐</t>
    <phoneticPr fontId="1" type="noConversion"/>
  </si>
  <si>
    <t>打完羽毛球吃晚饭</t>
    <phoneticPr fontId="1" type="noConversion"/>
  </si>
  <si>
    <t>晚餐</t>
    <phoneticPr fontId="1" type="noConversion"/>
  </si>
  <si>
    <t>支付宝</t>
    <phoneticPr fontId="1" type="noConversion"/>
  </si>
  <si>
    <t>零食饮料</t>
    <phoneticPr fontId="1" type="noConversion"/>
  </si>
  <si>
    <t>打完羽毛球买饮料</t>
    <phoneticPr fontId="1" type="noConversion"/>
  </si>
  <si>
    <t>麦当劳</t>
    <phoneticPr fontId="1" type="noConversion"/>
  </si>
  <si>
    <t>买洗发水</t>
    <phoneticPr fontId="1" type="noConversion"/>
  </si>
  <si>
    <t>支付宝</t>
    <phoneticPr fontId="1" type="noConversion"/>
  </si>
  <si>
    <t>岭南通充值</t>
    <phoneticPr fontId="1" type="noConversion"/>
  </si>
  <si>
    <t>羽毛球AS05</t>
    <phoneticPr fontId="1" type="noConversion"/>
  </si>
  <si>
    <t>晚餐</t>
    <phoneticPr fontId="1" type="noConversion"/>
  </si>
  <si>
    <t>通知存款</t>
    <phoneticPr fontId="1" type="noConversion"/>
  </si>
  <si>
    <t>定期存款</t>
    <phoneticPr fontId="1" type="noConversion"/>
  </si>
  <si>
    <t>抵押</t>
    <phoneticPr fontId="1" type="noConversion"/>
  </si>
  <si>
    <t>合计(流动)</t>
    <phoneticPr fontId="1" type="noConversion"/>
  </si>
  <si>
    <t>合计(含存款)</t>
    <phoneticPr fontId="1" type="noConversion"/>
  </si>
  <si>
    <t>产品名称</t>
    <phoneticPr fontId="1" type="noConversion"/>
  </si>
  <si>
    <t>金额</t>
    <phoneticPr fontId="1" type="noConversion"/>
  </si>
  <si>
    <t>收入</t>
    <phoneticPr fontId="1" type="noConversion"/>
  </si>
  <si>
    <t>10月工资</t>
    <phoneticPr fontId="1" type="noConversion"/>
  </si>
  <si>
    <t>10月水电+物业</t>
    <phoneticPr fontId="1" type="noConversion"/>
  </si>
  <si>
    <t>9月水电+物业</t>
    <phoneticPr fontId="1" type="noConversion"/>
  </si>
  <si>
    <t>水电+物业+宽带</t>
  </si>
  <si>
    <t>水电+物业+宽带</t>
    <phoneticPr fontId="1" type="noConversion"/>
  </si>
  <si>
    <t>给家人发红包</t>
    <phoneticPr fontId="1" type="noConversion"/>
  </si>
  <si>
    <t>买羽毛球李宁g900一桶</t>
    <phoneticPr fontId="1" type="noConversion"/>
  </si>
  <si>
    <t>转给老弟</t>
    <phoneticPr fontId="1" type="noConversion"/>
  </si>
  <si>
    <t>农行卡</t>
  </si>
  <si>
    <t>农行卡</t>
    <phoneticPr fontId="1" type="noConversion"/>
  </si>
  <si>
    <t>超市买水果</t>
    <phoneticPr fontId="1" type="noConversion"/>
  </si>
  <si>
    <t>零食饮料</t>
    <phoneticPr fontId="1" type="noConversion"/>
  </si>
  <si>
    <t>京东买抽纸</t>
    <phoneticPr fontId="1" type="noConversion"/>
  </si>
  <si>
    <t>京东点外卖</t>
    <phoneticPr fontId="1" type="noConversion"/>
  </si>
  <si>
    <t>午餐</t>
    <phoneticPr fontId="1" type="noConversion"/>
  </si>
  <si>
    <t>晚餐</t>
    <phoneticPr fontId="1" type="noConversion"/>
  </si>
  <si>
    <t>午餐</t>
    <phoneticPr fontId="1" type="noConversion"/>
  </si>
  <si>
    <t>午餐</t>
    <phoneticPr fontId="1" type="noConversion"/>
  </si>
  <si>
    <t>午餐</t>
    <phoneticPr fontId="1" type="noConversion"/>
  </si>
  <si>
    <t>晚餐</t>
    <phoneticPr fontId="1" type="noConversion"/>
  </si>
  <si>
    <t>退回</t>
    <phoneticPr fontId="1" type="noConversion"/>
  </si>
  <si>
    <t>李宁g900退款</t>
    <phoneticPr fontId="1" type="noConversion"/>
  </si>
  <si>
    <t>支付宝</t>
    <phoneticPr fontId="1" type="noConversion"/>
  </si>
  <si>
    <t>羽毛球场地费</t>
    <phoneticPr fontId="1" type="noConversion"/>
  </si>
  <si>
    <t>打完羽毛球买饮料</t>
    <phoneticPr fontId="1" type="noConversion"/>
  </si>
  <si>
    <t>宵夜</t>
    <phoneticPr fontId="1" type="noConversion"/>
  </si>
  <si>
    <t>打完羽毛球吃宵夜</t>
    <phoneticPr fontId="1" type="noConversion"/>
  </si>
  <si>
    <t>京东点外卖</t>
    <phoneticPr fontId="1" type="noConversion"/>
  </si>
  <si>
    <t>午餐</t>
    <phoneticPr fontId="1" type="noConversion"/>
  </si>
  <si>
    <t>曾边便利店买饮料</t>
    <phoneticPr fontId="1" type="noConversion"/>
  </si>
  <si>
    <t>晚餐</t>
    <phoneticPr fontId="1" type="noConversion"/>
  </si>
  <si>
    <t>京东点外卖</t>
    <phoneticPr fontId="1" type="noConversion"/>
  </si>
  <si>
    <t>晚餐</t>
    <phoneticPr fontId="1" type="noConversion"/>
  </si>
  <si>
    <t>京东点外卖</t>
    <phoneticPr fontId="1" type="noConversion"/>
  </si>
  <si>
    <t>京东点外卖</t>
    <phoneticPr fontId="1" type="noConversion"/>
  </si>
  <si>
    <t>午餐</t>
    <phoneticPr fontId="1" type="noConversion"/>
  </si>
  <si>
    <t>易方达港股通科技混合C</t>
    <phoneticPr fontId="1" type="noConversion"/>
  </si>
  <si>
    <t>早餐</t>
    <phoneticPr fontId="1" type="noConversion"/>
  </si>
  <si>
    <t>便利店买早餐</t>
    <phoneticPr fontId="1" type="noConversion"/>
  </si>
  <si>
    <t>微信</t>
    <phoneticPr fontId="1" type="noConversion"/>
  </si>
  <si>
    <t>晚餐</t>
    <phoneticPr fontId="1" type="noConversion"/>
  </si>
  <si>
    <t>京东点外卖</t>
    <phoneticPr fontId="1" type="noConversion"/>
  </si>
  <si>
    <t>抖音月付</t>
    <phoneticPr fontId="1" type="noConversion"/>
  </si>
  <si>
    <t>买裤子</t>
    <phoneticPr fontId="1" type="noConversion"/>
  </si>
  <si>
    <t>买手镯</t>
    <phoneticPr fontId="1" type="noConversion"/>
  </si>
  <si>
    <t>买杯子</t>
    <phoneticPr fontId="1" type="noConversion"/>
  </si>
  <si>
    <t>晚餐</t>
    <phoneticPr fontId="1" type="noConversion"/>
  </si>
  <si>
    <t>收入</t>
    <phoneticPr fontId="1" type="noConversion"/>
  </si>
  <si>
    <t>理财收益</t>
    <phoneticPr fontId="1" type="noConversion"/>
  </si>
  <si>
    <t>理财收益 浦发灵活+</t>
    <phoneticPr fontId="1" type="noConversion"/>
  </si>
  <si>
    <t>到期日</t>
    <phoneticPr fontId="1" type="noConversion"/>
  </si>
  <si>
    <t>合计(除抵押)</t>
    <phoneticPr fontId="1" type="noConversion"/>
  </si>
  <si>
    <t>午餐</t>
    <phoneticPr fontId="1" type="noConversion"/>
  </si>
  <si>
    <t>晚餐</t>
    <phoneticPr fontId="1" type="noConversion"/>
  </si>
  <si>
    <t>晚餐</t>
    <phoneticPr fontId="1" type="noConversion"/>
  </si>
  <si>
    <t>晚餐</t>
    <phoneticPr fontId="1" type="noConversion"/>
  </si>
  <si>
    <t>晚餐</t>
    <phoneticPr fontId="1" type="noConversion"/>
  </si>
  <si>
    <t>网易云音乐会员</t>
    <phoneticPr fontId="1" type="noConversion"/>
  </si>
  <si>
    <t>眼霜</t>
    <phoneticPr fontId="1" type="noConversion"/>
  </si>
  <si>
    <t>鞋子</t>
    <phoneticPr fontId="1" type="noConversion"/>
  </si>
  <si>
    <t>买裤子</t>
    <phoneticPr fontId="1" type="noConversion"/>
  </si>
  <si>
    <t>买眼镜框</t>
    <phoneticPr fontId="1" type="noConversion"/>
  </si>
  <si>
    <t>买梯子</t>
    <phoneticPr fontId="1" type="noConversion"/>
  </si>
  <si>
    <t>晚餐</t>
    <phoneticPr fontId="1" type="noConversion"/>
  </si>
  <si>
    <t>京东点外卖</t>
    <phoneticPr fontId="1" type="noConversion"/>
  </si>
  <si>
    <t>眼睛腿托</t>
    <phoneticPr fontId="1" type="noConversion"/>
  </si>
  <si>
    <t>手机壳</t>
    <phoneticPr fontId="1" type="noConversion"/>
  </si>
  <si>
    <t>共享单车月卡</t>
    <phoneticPr fontId="1" type="noConversion"/>
  </si>
  <si>
    <t>支付宝</t>
    <phoneticPr fontId="1" type="noConversion"/>
  </si>
  <si>
    <t>抖音买鞋子退款</t>
    <phoneticPr fontId="1" type="noConversion"/>
  </si>
  <si>
    <t>抖音买裤子退款</t>
    <phoneticPr fontId="1" type="noConversion"/>
  </si>
  <si>
    <t>抖音月付</t>
    <phoneticPr fontId="1" type="noConversion"/>
  </si>
  <si>
    <t>京东买手镯退款</t>
    <phoneticPr fontId="1" type="noConversion"/>
  </si>
  <si>
    <t>白条</t>
    <phoneticPr fontId="1" type="noConversion"/>
  </si>
  <si>
    <t>收入</t>
    <phoneticPr fontId="1" type="noConversion"/>
  </si>
  <si>
    <t>投资收益</t>
    <phoneticPr fontId="1" type="noConversion"/>
  </si>
  <si>
    <t>工商银行卡</t>
    <phoneticPr fontId="1" type="noConversion"/>
  </si>
  <si>
    <t>浦发银行卡</t>
    <phoneticPr fontId="1" type="noConversion"/>
  </si>
  <si>
    <t>存款利息</t>
    <phoneticPr fontId="1" type="noConversion"/>
  </si>
  <si>
    <t>农信银行卡</t>
    <phoneticPr fontId="1" type="noConversion"/>
  </si>
  <si>
    <t>浙商银行积存贵金属</t>
    <phoneticPr fontId="1" type="noConversion"/>
  </si>
  <si>
    <t>白云山飞索门票</t>
    <phoneticPr fontId="1" type="noConversion"/>
  </si>
  <si>
    <t>易方达黄金</t>
    <phoneticPr fontId="1" type="noConversion"/>
  </si>
  <si>
    <t>所有合计条目已减去负债</t>
    <phoneticPr fontId="1" type="noConversion"/>
  </si>
  <si>
    <t>抖音买鞋子</t>
    <phoneticPr fontId="1" type="noConversion"/>
  </si>
  <si>
    <t>mine</t>
    <phoneticPr fontId="1" type="noConversion"/>
  </si>
  <si>
    <t>京东</t>
    <phoneticPr fontId="1" type="noConversion"/>
  </si>
  <si>
    <t>京东</t>
    <phoneticPr fontId="1" type="noConversion"/>
  </si>
  <si>
    <t>爬白云山买水</t>
    <phoneticPr fontId="1" type="noConversion"/>
  </si>
  <si>
    <t>白云山飞索拍照</t>
    <phoneticPr fontId="1" type="noConversion"/>
  </si>
  <si>
    <t>晚餐</t>
    <phoneticPr fontId="1" type="noConversion"/>
  </si>
  <si>
    <t>友间粤式茶点</t>
    <phoneticPr fontId="1" type="noConversion"/>
  </si>
  <si>
    <t>给老妈发红包</t>
    <phoneticPr fontId="1" type="noConversion"/>
  </si>
  <si>
    <t>给老爹转账</t>
    <phoneticPr fontId="1" type="noConversion"/>
  </si>
  <si>
    <t>退回</t>
    <phoneticPr fontId="1" type="noConversion"/>
  </si>
  <si>
    <t>微信</t>
    <phoneticPr fontId="1" type="noConversion"/>
  </si>
  <si>
    <t>转我飞索门票钱</t>
    <phoneticPr fontId="1" type="noConversion"/>
  </si>
  <si>
    <t>早餐</t>
    <phoneticPr fontId="1" type="noConversion"/>
  </si>
  <si>
    <t>买早餐</t>
    <phoneticPr fontId="1" type="noConversion"/>
  </si>
  <si>
    <t>晚餐</t>
    <phoneticPr fontId="1" type="noConversion"/>
  </si>
  <si>
    <t>京东点外卖</t>
    <phoneticPr fontId="1" type="noConversion"/>
  </si>
  <si>
    <t>打车</t>
    <phoneticPr fontId="1" type="noConversion"/>
  </si>
  <si>
    <t>百度网盘超级会员</t>
    <phoneticPr fontId="1" type="noConversion"/>
  </si>
  <si>
    <t>早餐</t>
    <phoneticPr fontId="1" type="noConversion"/>
  </si>
  <si>
    <t>晚餐</t>
    <phoneticPr fontId="1" type="noConversion"/>
  </si>
  <si>
    <t>京东点外卖</t>
    <phoneticPr fontId="1" type="noConversion"/>
  </si>
  <si>
    <t>早餐</t>
    <phoneticPr fontId="1" type="noConversion"/>
  </si>
  <si>
    <t>买早餐</t>
    <phoneticPr fontId="1" type="noConversion"/>
  </si>
  <si>
    <t>晚餐</t>
    <phoneticPr fontId="1" type="noConversion"/>
  </si>
  <si>
    <t>京东点外卖</t>
    <phoneticPr fontId="1" type="noConversion"/>
  </si>
  <si>
    <t>早餐</t>
    <phoneticPr fontId="1" type="noConversion"/>
  </si>
  <si>
    <t>买早餐</t>
    <phoneticPr fontId="1" type="noConversion"/>
  </si>
  <si>
    <t>京东点外卖</t>
    <phoneticPr fontId="1" type="noConversion"/>
  </si>
  <si>
    <t>买早餐</t>
    <phoneticPr fontId="1" type="noConversion"/>
  </si>
  <si>
    <t>美团月付</t>
  </si>
  <si>
    <t>友间粤式茶点代金券</t>
    <phoneticPr fontId="1" type="noConversion"/>
  </si>
  <si>
    <t>午餐</t>
    <phoneticPr fontId="1" type="noConversion"/>
  </si>
  <si>
    <t>晚餐</t>
    <phoneticPr fontId="1" type="noConversion"/>
  </si>
  <si>
    <t>超市买零食</t>
    <phoneticPr fontId="1" type="noConversion"/>
  </si>
  <si>
    <t>超市买零食</t>
    <phoneticPr fontId="1" type="noConversion"/>
  </si>
  <si>
    <t>午餐</t>
    <phoneticPr fontId="1" type="noConversion"/>
  </si>
  <si>
    <t>京东点外卖</t>
    <phoneticPr fontId="1" type="noConversion"/>
  </si>
  <si>
    <t>流花湖公园买酸奶</t>
    <phoneticPr fontId="1" type="noConversion"/>
  </si>
  <si>
    <t>晚餐</t>
    <phoneticPr fontId="1" type="noConversion"/>
  </si>
  <si>
    <t>包子和炒面</t>
    <phoneticPr fontId="1" type="noConversion"/>
  </si>
  <si>
    <t>早餐</t>
    <phoneticPr fontId="1" type="noConversion"/>
  </si>
  <si>
    <t>京东点外卖</t>
    <phoneticPr fontId="1" type="noConversion"/>
  </si>
  <si>
    <t>晚餐</t>
    <phoneticPr fontId="1" type="noConversion"/>
  </si>
  <si>
    <t>京东点外卖</t>
    <phoneticPr fontId="1" type="noConversion"/>
  </si>
  <si>
    <t>岭南通充值</t>
    <phoneticPr fontId="1" type="noConversion"/>
  </si>
  <si>
    <t>晚餐</t>
    <phoneticPr fontId="1" type="noConversion"/>
  </si>
  <si>
    <t xml:space="preserve">早餐 </t>
    <phoneticPr fontId="1" type="noConversion"/>
  </si>
  <si>
    <t>买早餐</t>
    <phoneticPr fontId="1" type="noConversion"/>
  </si>
  <si>
    <t>支付宝</t>
    <phoneticPr fontId="1" type="noConversion"/>
  </si>
  <si>
    <t>现值</t>
    <phoneticPr fontId="1" type="noConversion"/>
  </si>
  <si>
    <t>差额</t>
    <phoneticPr fontId="1" type="noConversion"/>
  </si>
  <si>
    <t>午餐</t>
    <phoneticPr fontId="1" type="noConversion"/>
  </si>
  <si>
    <t>京东点外卖</t>
    <phoneticPr fontId="1" type="noConversion"/>
  </si>
  <si>
    <t>10月水电</t>
    <phoneticPr fontId="1" type="noConversion"/>
  </si>
  <si>
    <t>晚饭</t>
    <phoneticPr fontId="1" type="noConversion"/>
  </si>
  <si>
    <t>大学城新疆菜 11月1日的</t>
    <phoneticPr fontId="1" type="noConversion"/>
  </si>
  <si>
    <t>午饭</t>
    <phoneticPr fontId="1" type="noConversion"/>
  </si>
  <si>
    <t>包子糕点</t>
    <phoneticPr fontId="1" type="noConversion"/>
  </si>
  <si>
    <t>早餐</t>
    <phoneticPr fontId="1" type="noConversion"/>
  </si>
  <si>
    <t>买早餐</t>
    <phoneticPr fontId="1" type="noConversion"/>
  </si>
  <si>
    <t>晚餐</t>
    <phoneticPr fontId="1" type="noConversion"/>
  </si>
  <si>
    <t>京东点外卖</t>
    <phoneticPr fontId="1" type="noConversion"/>
  </si>
  <si>
    <t>早餐</t>
    <phoneticPr fontId="1" type="noConversion"/>
  </si>
  <si>
    <t>买早餐</t>
    <phoneticPr fontId="1" type="noConversion"/>
  </si>
  <si>
    <t>微信</t>
    <phoneticPr fontId="1" type="noConversion"/>
  </si>
  <si>
    <t>晚餐</t>
    <phoneticPr fontId="1" type="noConversion"/>
  </si>
  <si>
    <t>京东点外卖</t>
    <phoneticPr fontId="1" type="noConversion"/>
  </si>
  <si>
    <t>微信</t>
    <phoneticPr fontId="1" type="noConversion"/>
  </si>
  <si>
    <t>零食饮料</t>
    <phoneticPr fontId="1" type="noConversion"/>
  </si>
  <si>
    <t>早餐</t>
    <phoneticPr fontId="1" type="noConversion"/>
  </si>
  <si>
    <t>买早餐</t>
    <phoneticPr fontId="1" type="noConversion"/>
  </si>
  <si>
    <t>共享单车</t>
    <phoneticPr fontId="1" type="noConversion"/>
  </si>
  <si>
    <t>共享单车</t>
    <phoneticPr fontId="1" type="noConversion"/>
  </si>
  <si>
    <t>微信</t>
    <phoneticPr fontId="1" type="noConversion"/>
  </si>
  <si>
    <t>晚餐</t>
    <phoneticPr fontId="1" type="noConversion"/>
  </si>
  <si>
    <t>京东点外卖</t>
    <phoneticPr fontId="1" type="noConversion"/>
  </si>
  <si>
    <t>岭南通充值</t>
    <phoneticPr fontId="1" type="noConversion"/>
  </si>
  <si>
    <t>早餐</t>
    <phoneticPr fontId="1" type="noConversion"/>
  </si>
  <si>
    <t>微信</t>
    <phoneticPr fontId="1" type="noConversion"/>
  </si>
  <si>
    <t>晚餐</t>
    <phoneticPr fontId="1" type="noConversion"/>
  </si>
  <si>
    <t>早餐</t>
    <phoneticPr fontId="1" type="noConversion"/>
  </si>
  <si>
    <t>买早餐</t>
    <phoneticPr fontId="1" type="noConversion"/>
  </si>
  <si>
    <t>晚餐</t>
    <phoneticPr fontId="1" type="noConversion"/>
  </si>
  <si>
    <t>微信</t>
    <phoneticPr fontId="1" type="noConversion"/>
  </si>
  <si>
    <t>午餐</t>
    <phoneticPr fontId="1" type="noConversion"/>
  </si>
  <si>
    <t>买手胶</t>
    <phoneticPr fontId="1" type="noConversion"/>
  </si>
  <si>
    <t>大学城吃东北菜</t>
    <phoneticPr fontId="1" type="noConversion"/>
  </si>
  <si>
    <t>便利店买饮料</t>
    <phoneticPr fontId="1" type="noConversion"/>
  </si>
  <si>
    <t>京东点外卖</t>
    <phoneticPr fontId="1" type="noConversion"/>
  </si>
  <si>
    <t>京东点外卖</t>
    <phoneticPr fontId="1" type="noConversion"/>
  </si>
  <si>
    <t>收入</t>
    <phoneticPr fontId="1" type="noConversion"/>
  </si>
  <si>
    <t>11月工资</t>
    <phoneticPr fontId="1" type="noConversion"/>
  </si>
  <si>
    <t>洗衣液</t>
    <phoneticPr fontId="1" type="noConversion"/>
  </si>
  <si>
    <t>羽毛球拍穿线</t>
    <phoneticPr fontId="1" type="noConversion"/>
  </si>
  <si>
    <t>打车</t>
    <phoneticPr fontId="1" type="noConversion"/>
  </si>
  <si>
    <t>打车参加展会</t>
    <phoneticPr fontId="1" type="noConversion"/>
  </si>
  <si>
    <t>岭南通充值</t>
    <phoneticPr fontId="1" type="noConversion"/>
  </si>
  <si>
    <t>打车</t>
    <phoneticPr fontId="1" type="noConversion"/>
  </si>
  <si>
    <t>打车去吃铁锅炖</t>
    <phoneticPr fontId="1" type="noConversion"/>
  </si>
  <si>
    <t>早餐</t>
    <phoneticPr fontId="1" type="noConversion"/>
  </si>
  <si>
    <t>早餐</t>
    <phoneticPr fontId="1" type="noConversion"/>
  </si>
  <si>
    <t>共享单车</t>
    <phoneticPr fontId="1" type="noConversion"/>
  </si>
  <si>
    <t>买书</t>
    <phoneticPr fontId="1" type="noConversion"/>
  </si>
  <si>
    <t>超市买零食饮料</t>
    <phoneticPr fontId="1" type="noConversion"/>
  </si>
  <si>
    <t>共享单车</t>
    <phoneticPr fontId="1" type="noConversion"/>
  </si>
  <si>
    <t>晚餐</t>
    <phoneticPr fontId="1" type="noConversion"/>
  </si>
  <si>
    <t>京东点外卖</t>
    <phoneticPr fontId="1" type="noConversion"/>
  </si>
  <si>
    <t>晚餐</t>
    <phoneticPr fontId="1" type="noConversion"/>
  </si>
  <si>
    <t>零食饮料</t>
    <phoneticPr fontId="1" type="noConversion"/>
  </si>
  <si>
    <t>京东点外卖</t>
    <phoneticPr fontId="1" type="noConversion"/>
  </si>
  <si>
    <t>晚餐</t>
    <phoneticPr fontId="1" type="noConversion"/>
  </si>
  <si>
    <t>午餐</t>
    <phoneticPr fontId="1" type="noConversion"/>
  </si>
  <si>
    <t>京东点外卖</t>
    <phoneticPr fontId="1" type="noConversion"/>
  </si>
  <si>
    <t>午餐</t>
    <phoneticPr fontId="1" type="noConversion"/>
  </si>
  <si>
    <t>晚餐</t>
    <phoneticPr fontId="1" type="noConversion"/>
  </si>
  <si>
    <t>红油牛肉包</t>
    <phoneticPr fontId="1" type="noConversion"/>
  </si>
  <si>
    <t>晚餐</t>
    <phoneticPr fontId="1" type="noConversion"/>
  </si>
  <si>
    <t>兰州拉面</t>
    <phoneticPr fontId="1" type="noConversion"/>
  </si>
  <si>
    <t>晚餐</t>
    <phoneticPr fontId="1" type="noConversion"/>
  </si>
  <si>
    <t>打羽毛球+吃晚饭</t>
    <phoneticPr fontId="1" type="noConversion"/>
  </si>
  <si>
    <t>零食饮料</t>
    <phoneticPr fontId="1" type="noConversion"/>
  </si>
  <si>
    <t>买机场</t>
    <phoneticPr fontId="1" type="noConversion"/>
  </si>
  <si>
    <t>零食饮料</t>
    <phoneticPr fontId="1" type="noConversion"/>
  </si>
  <si>
    <t>京东买衣服</t>
    <phoneticPr fontId="1" type="noConversion"/>
  </si>
  <si>
    <t>京东买耳塞</t>
    <phoneticPr fontId="1" type="noConversion"/>
  </si>
  <si>
    <t>午餐</t>
    <phoneticPr fontId="1" type="noConversion"/>
  </si>
  <si>
    <t>贝壳中介费</t>
    <phoneticPr fontId="1" type="noConversion"/>
  </si>
  <si>
    <t>货拉拉</t>
    <phoneticPr fontId="1" type="noConversion"/>
  </si>
  <si>
    <t>转账给小号在PDD上面买东西</t>
    <phoneticPr fontId="1" type="noConversion"/>
  </si>
  <si>
    <t>微信</t>
    <phoneticPr fontId="1" type="noConversion"/>
  </si>
  <si>
    <t>晚餐</t>
    <phoneticPr fontId="1" type="noConversion"/>
  </si>
  <si>
    <t>琶洲地铁口麦当劳</t>
    <phoneticPr fontId="1" type="noConversion"/>
  </si>
  <si>
    <t>房租定金</t>
    <phoneticPr fontId="1" type="noConversion"/>
  </si>
  <si>
    <t>晚餐</t>
    <phoneticPr fontId="1" type="noConversion"/>
  </si>
  <si>
    <t>京东点外卖</t>
    <phoneticPr fontId="1" type="noConversion"/>
  </si>
  <si>
    <t>微信</t>
    <phoneticPr fontId="1" type="noConversion"/>
  </si>
  <si>
    <t>早餐</t>
    <phoneticPr fontId="1" type="noConversion"/>
  </si>
  <si>
    <t>买早餐</t>
    <phoneticPr fontId="1" type="noConversion"/>
  </si>
  <si>
    <t>微信</t>
    <phoneticPr fontId="1" type="noConversion"/>
  </si>
  <si>
    <t>微信</t>
    <phoneticPr fontId="1" type="noConversion"/>
  </si>
  <si>
    <t>共享单车</t>
    <phoneticPr fontId="1" type="noConversion"/>
  </si>
  <si>
    <t>共享单车</t>
    <phoneticPr fontId="1" type="noConversion"/>
  </si>
  <si>
    <t>早餐</t>
    <phoneticPr fontId="1" type="noConversion"/>
  </si>
  <si>
    <t>买早餐</t>
    <phoneticPr fontId="1" type="noConversion"/>
  </si>
  <si>
    <t>京东点外卖</t>
    <phoneticPr fontId="1" type="noConversion"/>
  </si>
  <si>
    <t>微信</t>
    <phoneticPr fontId="1" type="noConversion"/>
  </si>
  <si>
    <t>微信</t>
    <phoneticPr fontId="1" type="noConversion"/>
  </si>
  <si>
    <t>微信</t>
    <phoneticPr fontId="1" type="noConversion"/>
  </si>
  <si>
    <t>早餐</t>
    <phoneticPr fontId="1" type="noConversion"/>
  </si>
  <si>
    <t>12月房租+押金</t>
    <phoneticPr fontId="1" type="noConversion"/>
  </si>
  <si>
    <t>燃气费</t>
    <phoneticPr fontId="1" type="noConversion"/>
  </si>
  <si>
    <t>微信</t>
    <phoneticPr fontId="1" type="noConversion"/>
  </si>
  <si>
    <t>京东点外卖</t>
    <phoneticPr fontId="1" type="noConversion"/>
  </si>
  <si>
    <t>微信</t>
    <phoneticPr fontId="1" type="noConversion"/>
  </si>
  <si>
    <t>买搬家打包袋子</t>
    <phoneticPr fontId="1" type="noConversion"/>
  </si>
  <si>
    <t>微信</t>
    <phoneticPr fontId="1" type="noConversion"/>
  </si>
  <si>
    <t>收入</t>
    <phoneticPr fontId="1" type="noConversion"/>
  </si>
  <si>
    <t>老妈发红包</t>
    <phoneticPr fontId="1" type="noConversion"/>
  </si>
  <si>
    <t>易方达黄金卖出收益</t>
    <phoneticPr fontId="1" type="noConversion"/>
  </si>
  <si>
    <t>支付宝</t>
    <phoneticPr fontId="1" type="noConversion"/>
  </si>
  <si>
    <t>桶装水</t>
    <phoneticPr fontId="1" type="noConversion"/>
  </si>
  <si>
    <t>合计(真实)</t>
    <phoneticPr fontId="1" type="noConversion"/>
  </si>
  <si>
    <t>mine(真实)</t>
    <phoneticPr fontId="1" type="noConversion"/>
  </si>
  <si>
    <t>买搬家打包箱子</t>
    <phoneticPr fontId="1" type="noConversion"/>
  </si>
  <si>
    <t>共享单车</t>
    <phoneticPr fontId="1" type="noConversion"/>
  </si>
  <si>
    <t>晚餐</t>
    <phoneticPr fontId="1" type="noConversion"/>
  </si>
  <si>
    <t>打完球吃B记鱼粥</t>
    <phoneticPr fontId="1" type="noConversion"/>
  </si>
  <si>
    <t>支付宝</t>
    <phoneticPr fontId="1" type="noConversion"/>
  </si>
  <si>
    <t>打完球买可乐</t>
    <phoneticPr fontId="1" type="noConversion"/>
  </si>
  <si>
    <t>共享单车</t>
    <phoneticPr fontId="1" type="noConversion"/>
  </si>
  <si>
    <t>pdd买桌垫</t>
    <phoneticPr fontId="1" type="noConversion"/>
  </si>
  <si>
    <t>pdd买绷带</t>
    <phoneticPr fontId="1" type="noConversion"/>
  </si>
  <si>
    <t>共享单车</t>
    <phoneticPr fontId="1" type="noConversion"/>
  </si>
  <si>
    <t>支付宝</t>
    <phoneticPr fontId="1" type="noConversion"/>
  </si>
  <si>
    <t>pdd买地垫</t>
    <phoneticPr fontId="1" type="noConversion"/>
  </si>
  <si>
    <t>支付宝</t>
    <phoneticPr fontId="1" type="noConversion"/>
  </si>
  <si>
    <t>零食饮料</t>
    <phoneticPr fontId="1" type="noConversion"/>
  </si>
  <si>
    <t>微信</t>
    <phoneticPr fontId="1" type="noConversion"/>
  </si>
  <si>
    <t>午餐</t>
    <phoneticPr fontId="1" type="noConversion"/>
  </si>
  <si>
    <t>微信</t>
    <phoneticPr fontId="1" type="noConversion"/>
  </si>
  <si>
    <t>微信</t>
    <phoneticPr fontId="1" type="noConversion"/>
  </si>
  <si>
    <t>华工打球停车费</t>
    <phoneticPr fontId="1" type="noConversion"/>
  </si>
  <si>
    <t>羽毛球场地费+球费</t>
    <phoneticPr fontId="1" type="noConversion"/>
  </si>
  <si>
    <t>微信</t>
    <phoneticPr fontId="1" type="noConversion"/>
  </si>
  <si>
    <t>京东点外卖</t>
    <phoneticPr fontId="1" type="noConversion"/>
  </si>
  <si>
    <t>晚餐</t>
    <phoneticPr fontId="1" type="noConversion"/>
  </si>
  <si>
    <t>微信</t>
    <phoneticPr fontId="1" type="noConversion"/>
  </si>
  <si>
    <t>京东买美纹纸</t>
    <phoneticPr fontId="1" type="noConversion"/>
  </si>
  <si>
    <t>共享单车</t>
    <phoneticPr fontId="1" type="noConversion"/>
  </si>
  <si>
    <t>早餐</t>
    <phoneticPr fontId="1" type="noConversion"/>
  </si>
  <si>
    <t>拉宽带</t>
    <phoneticPr fontId="1" type="noConversion"/>
  </si>
  <si>
    <t>早餐</t>
    <phoneticPr fontId="1" type="noConversion"/>
  </si>
  <si>
    <t>11月水电费</t>
    <phoneticPr fontId="1" type="noConversion"/>
  </si>
  <si>
    <t>公牛排插</t>
    <phoneticPr fontId="1" type="noConversion"/>
  </si>
  <si>
    <t>买衣服</t>
    <phoneticPr fontId="1" type="noConversion"/>
  </si>
  <si>
    <t>12月工资</t>
    <phoneticPr fontId="1" type="noConversion"/>
  </si>
  <si>
    <t>支付宝</t>
    <phoneticPr fontId="1" type="noConversion"/>
  </si>
  <si>
    <t>共享单车</t>
    <phoneticPr fontId="1" type="noConversion"/>
  </si>
  <si>
    <t>支付宝</t>
    <phoneticPr fontId="1" type="noConversion"/>
  </si>
  <si>
    <t>共享单车</t>
    <phoneticPr fontId="1" type="noConversion"/>
  </si>
  <si>
    <t>微信</t>
    <phoneticPr fontId="1" type="noConversion"/>
  </si>
  <si>
    <t>微信</t>
    <phoneticPr fontId="1" type="noConversion"/>
  </si>
  <si>
    <t>早餐</t>
    <phoneticPr fontId="1" type="noConversion"/>
  </si>
  <si>
    <t>早餐</t>
    <phoneticPr fontId="1" type="noConversion"/>
  </si>
  <si>
    <t>微信</t>
    <phoneticPr fontId="1" type="noConversion"/>
  </si>
  <si>
    <t>晚餐</t>
    <phoneticPr fontId="1" type="noConversion"/>
  </si>
  <si>
    <t>微信</t>
    <phoneticPr fontId="1" type="noConversion"/>
  </si>
  <si>
    <t>零食饮料</t>
    <phoneticPr fontId="1" type="noConversion"/>
  </si>
  <si>
    <t>微信</t>
    <phoneticPr fontId="1" type="noConversion"/>
  </si>
  <si>
    <t>零食饮料</t>
    <phoneticPr fontId="1" type="noConversion"/>
  </si>
  <si>
    <t>买牙签</t>
    <phoneticPr fontId="1" type="noConversion"/>
  </si>
  <si>
    <t>晚餐</t>
    <phoneticPr fontId="1" type="noConversion"/>
  </si>
  <si>
    <t>保温壶</t>
    <phoneticPr fontId="1" type="noConversion"/>
  </si>
  <si>
    <t>支付宝</t>
    <phoneticPr fontId="1" type="noConversion"/>
  </si>
  <si>
    <t>共享单车</t>
    <phoneticPr fontId="1" type="noConversion"/>
  </si>
  <si>
    <t>支付宝</t>
    <phoneticPr fontId="1" type="noConversion"/>
  </si>
  <si>
    <t>午餐</t>
    <phoneticPr fontId="1" type="noConversion"/>
  </si>
  <si>
    <t>共享单车</t>
    <phoneticPr fontId="1" type="noConversion"/>
  </si>
  <si>
    <t>支付宝</t>
    <phoneticPr fontId="1" type="noConversion"/>
  </si>
  <si>
    <t>话费</t>
    <phoneticPr fontId="1" type="noConversion"/>
  </si>
  <si>
    <t>零食饮料</t>
    <phoneticPr fontId="1" type="noConversion"/>
  </si>
  <si>
    <t>晚餐</t>
    <phoneticPr fontId="1" type="noConversion"/>
  </si>
  <si>
    <t>支付宝</t>
    <phoneticPr fontId="1" type="noConversion"/>
  </si>
  <si>
    <t>共享单车</t>
    <phoneticPr fontId="1" type="noConversion"/>
  </si>
  <si>
    <t>pdd买椅子</t>
    <phoneticPr fontId="1" type="noConversion"/>
  </si>
  <si>
    <t>微信</t>
    <phoneticPr fontId="1" type="noConversion"/>
  </si>
  <si>
    <t>京东清洗洗衣机服务</t>
    <phoneticPr fontId="1" type="noConversion"/>
  </si>
  <si>
    <t>微信</t>
    <phoneticPr fontId="1" type="noConversion"/>
  </si>
  <si>
    <t>排插</t>
    <phoneticPr fontId="1" type="noConversion"/>
  </si>
  <si>
    <t>微信</t>
    <phoneticPr fontId="1" type="noConversion"/>
  </si>
  <si>
    <t>晚餐</t>
    <phoneticPr fontId="1" type="noConversion"/>
  </si>
  <si>
    <t>微信</t>
    <phoneticPr fontId="1" type="noConversion"/>
  </si>
  <si>
    <t>早餐</t>
    <phoneticPr fontId="1" type="noConversion"/>
  </si>
  <si>
    <t>早餐</t>
    <phoneticPr fontId="1" type="noConversion"/>
  </si>
  <si>
    <t>白条</t>
    <phoneticPr fontId="1" type="noConversion"/>
  </si>
  <si>
    <t>擦眼镜湿巾</t>
    <phoneticPr fontId="1" type="noConversion"/>
  </si>
  <si>
    <t>macbook air</t>
    <phoneticPr fontId="1" type="noConversion"/>
  </si>
  <si>
    <t>macbook air 电脑包</t>
    <phoneticPr fontId="1" type="noConversion"/>
  </si>
  <si>
    <t>买衣服</t>
    <phoneticPr fontId="1" type="noConversion"/>
  </si>
  <si>
    <t>白条</t>
    <phoneticPr fontId="1" type="noConversion"/>
  </si>
  <si>
    <t>晚餐</t>
    <phoneticPr fontId="1" type="noConversion"/>
  </si>
  <si>
    <t>公牛排插</t>
    <phoneticPr fontId="1" type="noConversion"/>
  </si>
  <si>
    <t>白条</t>
    <phoneticPr fontId="1" type="noConversion"/>
  </si>
  <si>
    <t>pdd买垃圾桶</t>
    <phoneticPr fontId="1" type="noConversion"/>
  </si>
  <si>
    <t>pdd买收纳盒</t>
    <phoneticPr fontId="1" type="noConversion"/>
  </si>
  <si>
    <t>pdd买螺丝刀</t>
    <phoneticPr fontId="1" type="noConversion"/>
  </si>
  <si>
    <t>共享单车月卡</t>
    <phoneticPr fontId="1" type="noConversion"/>
  </si>
  <si>
    <t>pdd厨房筷子刀具收纳架</t>
    <phoneticPr fontId="1" type="noConversion"/>
  </si>
  <si>
    <t>盐、油、酱油</t>
    <phoneticPr fontId="1" type="noConversion"/>
  </si>
  <si>
    <t>pdd买小凳子</t>
    <phoneticPr fontId="1" type="noConversion"/>
  </si>
  <si>
    <t>捐赠给MSDN，I tell you</t>
    <phoneticPr fontId="1" type="noConversion"/>
  </si>
  <si>
    <t>早餐</t>
    <phoneticPr fontId="1" type="noConversion"/>
  </si>
  <si>
    <t>给我奶手机充话费</t>
    <phoneticPr fontId="1" type="noConversion"/>
  </si>
  <si>
    <t>给159充话费</t>
    <phoneticPr fontId="1" type="noConversion"/>
  </si>
  <si>
    <t>买炒菜锅</t>
    <phoneticPr fontId="1" type="noConversion"/>
  </si>
  <si>
    <t>买电饭煲</t>
    <phoneticPr fontId="1" type="noConversion"/>
  </si>
  <si>
    <t>其他厨具，餐具</t>
    <phoneticPr fontId="1" type="noConversion"/>
  </si>
  <si>
    <t>晚餐</t>
    <phoneticPr fontId="1" type="noConversion"/>
  </si>
  <si>
    <t>京东点外卖</t>
    <phoneticPr fontId="1" type="noConversion"/>
  </si>
  <si>
    <t>微信</t>
    <phoneticPr fontId="1" type="noConversion"/>
  </si>
  <si>
    <t>买鸡蛋</t>
    <phoneticPr fontId="1" type="noConversion"/>
  </si>
  <si>
    <t>微信</t>
    <phoneticPr fontId="1" type="noConversion"/>
  </si>
  <si>
    <t>买西红柿</t>
    <phoneticPr fontId="1" type="noConversion"/>
  </si>
  <si>
    <t>窝趣退押金</t>
    <phoneticPr fontId="1" type="noConversion"/>
  </si>
  <si>
    <t>助学金</t>
    <phoneticPr fontId="1" type="noConversion"/>
  </si>
  <si>
    <t>建行银行卡</t>
    <phoneticPr fontId="1" type="noConversion"/>
  </si>
  <si>
    <t>早餐</t>
    <phoneticPr fontId="1" type="noConversion"/>
  </si>
  <si>
    <t>给阿豪发红包，帮我租房合同用印</t>
    <phoneticPr fontId="1" type="noConversion"/>
  </si>
  <si>
    <t>买菜</t>
    <phoneticPr fontId="1" type="noConversion"/>
  </si>
  <si>
    <t>钱大妈买菜</t>
    <phoneticPr fontId="1" type="noConversion"/>
  </si>
  <si>
    <t>零食饮料</t>
    <phoneticPr fontId="1" type="noConversion"/>
  </si>
  <si>
    <t>打水</t>
    <phoneticPr fontId="1" type="noConversion"/>
  </si>
  <si>
    <t>早餐</t>
    <phoneticPr fontId="1" type="noConversion"/>
  </si>
  <si>
    <t>早餐</t>
    <phoneticPr fontId="1" type="noConversion"/>
  </si>
  <si>
    <t>午餐</t>
    <phoneticPr fontId="1" type="noConversion"/>
  </si>
  <si>
    <t>晚餐</t>
    <phoneticPr fontId="1" type="noConversion"/>
  </si>
  <si>
    <t>充话费</t>
    <phoneticPr fontId="1" type="noConversion"/>
  </si>
  <si>
    <t>微信</t>
    <phoneticPr fontId="1" type="noConversion"/>
  </si>
  <si>
    <t>共享单车</t>
    <phoneticPr fontId="1" type="noConversion"/>
  </si>
  <si>
    <t>微信</t>
    <phoneticPr fontId="1" type="noConversion"/>
  </si>
  <si>
    <t>打印资料</t>
    <phoneticPr fontId="1" type="noConversion"/>
  </si>
  <si>
    <t>买面条</t>
    <phoneticPr fontId="1" type="noConversion"/>
  </si>
  <si>
    <t>微信</t>
    <phoneticPr fontId="1" type="noConversion"/>
  </si>
  <si>
    <t>买肉</t>
    <phoneticPr fontId="1" type="noConversion"/>
  </si>
  <si>
    <t>微信</t>
    <phoneticPr fontId="1" type="noConversion"/>
  </si>
  <si>
    <t>还学费</t>
    <phoneticPr fontId="1" type="noConversion"/>
  </si>
  <si>
    <t>pdd买水龙头花洒</t>
    <phoneticPr fontId="1" type="noConversion"/>
  </si>
  <si>
    <t>哈啰单车骑行卡</t>
    <phoneticPr fontId="1" type="noConversion"/>
  </si>
  <si>
    <t>网易云会员</t>
    <phoneticPr fontId="1" type="noConversion"/>
  </si>
  <si>
    <t>deepseekAPI费用</t>
    <phoneticPr fontId="1" type="noConversion"/>
  </si>
  <si>
    <t>买速冻水饺</t>
    <phoneticPr fontId="1" type="noConversion"/>
  </si>
  <si>
    <t>买玉米淀粉</t>
    <phoneticPr fontId="1" type="noConversion"/>
  </si>
  <si>
    <t>收益</t>
    <phoneticPr fontId="1" type="noConversion"/>
  </si>
  <si>
    <t>买菜</t>
    <phoneticPr fontId="1" type="noConversion"/>
  </si>
  <si>
    <t>早餐</t>
    <phoneticPr fontId="1" type="noConversion"/>
  </si>
  <si>
    <t>bilibili充电</t>
    <phoneticPr fontId="1" type="noConversion"/>
  </si>
  <si>
    <t>打印资料</t>
    <phoneticPr fontId="1" type="noConversion"/>
  </si>
  <si>
    <t>买丝瓜络</t>
    <phoneticPr fontId="1" type="noConversion"/>
  </si>
  <si>
    <t>买肉</t>
    <phoneticPr fontId="1" type="noConversion"/>
  </si>
  <si>
    <t>打车</t>
    <phoneticPr fontId="1" type="noConversion"/>
  </si>
  <si>
    <t>午餐</t>
    <phoneticPr fontId="1" type="noConversion"/>
  </si>
  <si>
    <t>打车</t>
    <phoneticPr fontId="1" type="noConversion"/>
  </si>
  <si>
    <t>晚餐</t>
    <phoneticPr fontId="1" type="noConversion"/>
  </si>
  <si>
    <t>打车</t>
    <phoneticPr fontId="1" type="noConversion"/>
  </si>
  <si>
    <t>买U盘</t>
    <phoneticPr fontId="1" type="noConversion"/>
  </si>
  <si>
    <t>买速写本和厨房用品</t>
    <phoneticPr fontId="1" type="noConversion"/>
  </si>
  <si>
    <t>文创店买东西</t>
    <phoneticPr fontId="1" type="noConversion"/>
  </si>
  <si>
    <t>支付宝</t>
    <phoneticPr fontId="1" type="noConversion"/>
  </si>
  <si>
    <t>支付宝</t>
    <phoneticPr fontId="1" type="noConversion"/>
  </si>
  <si>
    <t>打车</t>
    <phoneticPr fontId="1" type="noConversion"/>
  </si>
  <si>
    <t>打车</t>
    <phoneticPr fontId="1" type="noConversion"/>
  </si>
  <si>
    <t>打车</t>
    <phoneticPr fontId="1" type="noConversion"/>
  </si>
  <si>
    <t>微信</t>
    <phoneticPr fontId="1" type="noConversion"/>
  </si>
  <si>
    <t>高速费</t>
    <phoneticPr fontId="1" type="noConversion"/>
  </si>
  <si>
    <t>家里给</t>
    <phoneticPr fontId="1" type="noConversion"/>
  </si>
  <si>
    <t>微信</t>
    <phoneticPr fontId="1" type="noConversion"/>
  </si>
  <si>
    <t>老妈发红包</t>
    <phoneticPr fontId="1" type="noConversion"/>
  </si>
  <si>
    <t>退回</t>
    <phoneticPr fontId="1" type="noConversion"/>
  </si>
  <si>
    <t>文创店买东西报销</t>
    <phoneticPr fontId="1" type="noConversion"/>
  </si>
  <si>
    <t>收入</t>
    <phoneticPr fontId="1" type="noConversion"/>
  </si>
  <si>
    <t>1月工资</t>
    <phoneticPr fontId="1" type="noConversion"/>
  </si>
  <si>
    <t>微信</t>
    <phoneticPr fontId="1" type="noConversion"/>
  </si>
  <si>
    <t>早餐</t>
    <phoneticPr fontId="1" type="noConversion"/>
  </si>
  <si>
    <t>微信</t>
    <phoneticPr fontId="1" type="noConversion"/>
  </si>
  <si>
    <t>早餐</t>
    <phoneticPr fontId="1" type="noConversion"/>
  </si>
  <si>
    <t>微信</t>
    <phoneticPr fontId="1" type="noConversion"/>
  </si>
  <si>
    <t>1月房租</t>
    <phoneticPr fontId="1" type="noConversion"/>
  </si>
  <si>
    <t>微信</t>
    <phoneticPr fontId="1" type="noConversion"/>
  </si>
  <si>
    <t>pdd买扫把</t>
    <phoneticPr fontId="1" type="noConversion"/>
  </si>
  <si>
    <t>支付宝</t>
    <phoneticPr fontId="1" type="noConversion"/>
  </si>
  <si>
    <t>晚餐</t>
    <phoneticPr fontId="1" type="noConversion"/>
  </si>
  <si>
    <t>支付宝</t>
    <phoneticPr fontId="1" type="noConversion"/>
  </si>
  <si>
    <t>零食饮料</t>
    <phoneticPr fontId="1" type="noConversion"/>
  </si>
  <si>
    <t>白条</t>
    <phoneticPr fontId="1" type="noConversion"/>
  </si>
  <si>
    <t>买衣服</t>
    <phoneticPr fontId="1" type="noConversion"/>
  </si>
  <si>
    <t>买洗面奶</t>
    <phoneticPr fontId="1" type="noConversion"/>
  </si>
  <si>
    <t>京东买衣服</t>
    <phoneticPr fontId="1" type="noConversion"/>
  </si>
  <si>
    <t>支付宝</t>
    <phoneticPr fontId="1" type="noConversion"/>
  </si>
  <si>
    <t>投资积存金亏损</t>
    <phoneticPr fontId="1" type="noConversion"/>
  </si>
  <si>
    <t>花呗</t>
    <phoneticPr fontId="1" type="noConversion"/>
  </si>
  <si>
    <t>白条</t>
    <phoneticPr fontId="1" type="noConversion"/>
  </si>
  <si>
    <t>美团月付</t>
    <phoneticPr fontId="1" type="noConversion"/>
  </si>
  <si>
    <t>抖音月付</t>
    <phoneticPr fontId="1" type="noConversion"/>
  </si>
  <si>
    <t>抖音放心借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</si>
</sst>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#,##0.00_ "/>
    <numFmt numFmtId="177" formatCode="#,##0.00_);[Red]\(#,##0.00\)"/>
    <numFmt numFmtId="178" formatCode="0.00_ "/>
  </numFmts>
  <fonts count="16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2" tint="-0.249977111117893"/>
      <name val="等线"/>
      <family val="2"/>
      <scheme val="minor"/>
    </font>
    <font>
      <sz val="11"/>
      <color theme="2" tint="-0.249977111117893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359AB5"/>
      <name val="等线"/>
      <family val="2"/>
      <scheme val="minor"/>
    </font>
    <font>
      <sz val="11"/>
      <color rgb="FF359AB5"/>
      <name val="等线"/>
      <family val="3"/>
      <charset val="134"/>
      <scheme val="minor"/>
    </font>
    <font>
      <sz val="11"/>
      <color rgb="FF00B050"/>
      <name val="等线"/>
      <family val="3"/>
      <charset val="134"/>
      <scheme val="minor"/>
    </font>
    <font>
      <sz val="11"/>
      <color theme="9" tint="-0.499984740745262"/>
      <name val="等线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0" xfId="0" applyFont="1" applyFill="1"/>
    <xf numFmtId="0" fontId="3" fillId="0" borderId="0" xfId="0" applyFont="1" applyFill="1"/>
    <xf numFmtId="0" fontId="0" fillId="0" borderId="0" xfId="0" applyFill="1"/>
    <xf numFmtId="14" fontId="0" fillId="0" borderId="0" xfId="0" applyNumberFormat="1"/>
    <xf numFmtId="0" fontId="4" fillId="0" borderId="0" xfId="0" applyFont="1"/>
    <xf numFmtId="0" fontId="5" fillId="0" borderId="0" xfId="0" applyFont="1" applyFill="1"/>
    <xf numFmtId="0" fontId="5" fillId="0" borderId="0" xfId="0" applyFont="1" applyFill="1" applyAlignment="1"/>
    <xf numFmtId="0" fontId="6" fillId="0" borderId="0" xfId="0" applyFont="1" applyFill="1"/>
    <xf numFmtId="0" fontId="7" fillId="0" borderId="0" xfId="0" applyFont="1" applyFill="1"/>
    <xf numFmtId="0" fontId="7" fillId="0" borderId="0" xfId="0" applyFont="1"/>
    <xf numFmtId="0" fontId="8" fillId="0" borderId="0" xfId="0" applyFont="1"/>
    <xf numFmtId="0" fontId="9" fillId="0" borderId="0" xfId="0" applyFont="1"/>
    <xf numFmtId="0" fontId="9" fillId="0" borderId="0" xfId="0" applyFont="1" applyFill="1"/>
    <xf numFmtId="0" fontId="10" fillId="0" borderId="0" xfId="0" applyFont="1" applyFill="1"/>
    <xf numFmtId="0" fontId="0" fillId="0" borderId="0" xfId="0" applyNumberFormat="1"/>
    <xf numFmtId="0" fontId="11" fillId="0" borderId="0" xfId="0" applyFont="1"/>
    <xf numFmtId="0" fontId="0" fillId="4" borderId="0" xfId="0" applyFill="1"/>
    <xf numFmtId="14" fontId="0" fillId="4" borderId="0" xfId="0" applyNumberFormat="1" applyFill="1"/>
    <xf numFmtId="0" fontId="12" fillId="0" borderId="0" xfId="0" applyFont="1"/>
    <xf numFmtId="4" fontId="0" fillId="0" borderId="0" xfId="0" applyNumberFormat="1"/>
    <xf numFmtId="4" fontId="13" fillId="0" borderId="0" xfId="0" applyNumberFormat="1" applyFont="1"/>
    <xf numFmtId="4" fontId="4" fillId="0" borderId="0" xfId="0" applyNumberFormat="1" applyFont="1"/>
    <xf numFmtId="176" fontId="0" fillId="0" borderId="0" xfId="0" applyNumberFormat="1"/>
    <xf numFmtId="0" fontId="0" fillId="3" borderId="0" xfId="0" applyFill="1"/>
    <xf numFmtId="14" fontId="0" fillId="3" borderId="0" xfId="0" applyNumberFormat="1" applyFill="1"/>
    <xf numFmtId="4" fontId="14" fillId="0" borderId="0" xfId="0" applyNumberFormat="1" applyFont="1"/>
    <xf numFmtId="0" fontId="14" fillId="0" borderId="0" xfId="0" applyFont="1" applyFill="1"/>
    <xf numFmtId="14" fontId="2" fillId="0" borderId="0" xfId="0" applyNumberFormat="1" applyFont="1"/>
    <xf numFmtId="0" fontId="2" fillId="0" borderId="0" xfId="0" applyFont="1"/>
    <xf numFmtId="4" fontId="0" fillId="3" borderId="0" xfId="0" applyNumberFormat="1" applyFill="1"/>
    <xf numFmtId="4" fontId="13" fillId="3" borderId="0" xfId="0" applyNumberFormat="1" applyFont="1" applyFill="1"/>
    <xf numFmtId="4" fontId="4" fillId="3" borderId="0" xfId="0" applyNumberFormat="1" applyFont="1" applyFill="1"/>
    <xf numFmtId="4" fontId="14" fillId="3" borderId="0" xfId="0" applyNumberFormat="1" applyFont="1" applyFill="1"/>
    <xf numFmtId="176" fontId="0" fillId="3" borderId="0" xfId="0" applyNumberFormat="1" applyFill="1"/>
    <xf numFmtId="0" fontId="9" fillId="3" borderId="0" xfId="0" applyFont="1" applyFill="1"/>
    <xf numFmtId="0" fontId="4" fillId="3" borderId="0" xfId="0" applyFont="1" applyFill="1"/>
    <xf numFmtId="4" fontId="0" fillId="0" borderId="0" xfId="0" applyNumberFormat="1" applyFill="1"/>
    <xf numFmtId="4" fontId="9" fillId="0" borderId="0" xfId="0" applyNumberFormat="1" applyFont="1"/>
    <xf numFmtId="0" fontId="0" fillId="5" borderId="0" xfId="0" applyFill="1"/>
    <xf numFmtId="4" fontId="0" fillId="5" borderId="0" xfId="0" applyNumberFormat="1" applyFill="1"/>
    <xf numFmtId="0" fontId="0" fillId="6" borderId="0" xfId="0" applyFill="1"/>
    <xf numFmtId="4" fontId="0" fillId="6" borderId="0" xfId="0" applyNumberFormat="1" applyFill="1"/>
    <xf numFmtId="4" fontId="9" fillId="3" borderId="0" xfId="0" applyNumberFormat="1" applyFont="1" applyFill="1"/>
    <xf numFmtId="0" fontId="4" fillId="0" borderId="0" xfId="0" applyFont="1" applyFill="1"/>
    <xf numFmtId="177" fontId="3" fillId="0" borderId="0" xfId="0" applyNumberFormat="1" applyFont="1"/>
    <xf numFmtId="177" fontId="3" fillId="3" borderId="0" xfId="0" applyNumberFormat="1" applyFont="1" applyFill="1"/>
    <xf numFmtId="40" fontId="14" fillId="0" borderId="0" xfId="0" applyNumberFormat="1" applyFont="1"/>
    <xf numFmtId="40" fontId="14" fillId="3" borderId="0" xfId="0" applyNumberFormat="1" applyFont="1" applyFill="1"/>
    <xf numFmtId="40" fontId="4" fillId="0" borderId="0" xfId="0" applyNumberFormat="1" applyFont="1"/>
    <xf numFmtId="40" fontId="0" fillId="0" borderId="0" xfId="0" applyNumberFormat="1"/>
    <xf numFmtId="0" fontId="0" fillId="0" borderId="0" xfId="0" applyAlignment="1">
      <alignment horizontal="right"/>
    </xf>
    <xf numFmtId="0" fontId="9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177" fontId="0" fillId="0" borderId="0" xfId="0" applyNumberFormat="1"/>
    <xf numFmtId="177" fontId="4" fillId="0" borderId="0" xfId="0" applyNumberFormat="1" applyFont="1"/>
    <xf numFmtId="177" fontId="9" fillId="0" borderId="0" xfId="0" applyNumberFormat="1" applyFont="1" applyFill="1"/>
    <xf numFmtId="0" fontId="4" fillId="7" borderId="0" xfId="0" applyFont="1" applyFill="1" applyAlignment="1">
      <alignment horizontal="right"/>
    </xf>
    <xf numFmtId="177" fontId="9" fillId="7" borderId="0" xfId="0" applyNumberFormat="1" applyFont="1" applyFill="1"/>
    <xf numFmtId="177" fontId="15" fillId="0" borderId="0" xfId="0" applyNumberFormat="1" applyFont="1"/>
    <xf numFmtId="0" fontId="0" fillId="0" borderId="0" xfId="0" applyAlignment="1">
      <alignment horizontal="left" vertical="center"/>
    </xf>
    <xf numFmtId="0" fontId="5" fillId="3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0" fillId="0" borderId="0" xfId="0" applyFill="1" applyAlignment="1">
      <alignment horizontal="left" vertical="center"/>
    </xf>
    <xf numFmtId="0" fontId="0" fillId="0" borderId="0" xfId="0" applyAlignment="1">
      <alignment vertical="center"/>
    </xf>
    <xf numFmtId="178" fontId="0" fillId="0" borderId="0" xfId="0" applyNumberFormat="1"/>
    <xf numFmtId="178" fontId="2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99CC"/>
      <color rgb="FF359A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650"/>
  <sheetViews>
    <sheetView workbookViewId="0">
      <pane ySplit="1" topLeftCell="A629" activePane="bottomLeft" state="frozen"/>
      <selection pane="bottomLeft" activeCell="E653" sqref="E653"/>
    </sheetView>
  </sheetViews>
  <sheetFormatPr defaultRowHeight="13.8"/>
  <cols>
    <col min="1" max="1" width="10.33203125" customWidth="1"/>
    <col min="2" max="2" width="11.21875" bestFit="1" customWidth="1"/>
    <col min="3" max="3" width="9.77734375" customWidth="1"/>
    <col min="4" max="4" width="11.88671875" customWidth="1"/>
    <col min="5" max="5" width="16.109375" customWidth="1"/>
    <col min="6" max="6" width="34.5546875" customWidth="1"/>
    <col min="7" max="7" width="12.21875" customWidth="1"/>
    <col min="8" max="8" width="16.88671875" customWidth="1"/>
  </cols>
  <sheetData>
    <row r="1" spans="1:8">
      <c r="A1" t="s">
        <v>242</v>
      </c>
      <c r="B1" t="s">
        <v>15</v>
      </c>
      <c r="C1" t="s">
        <v>16</v>
      </c>
      <c r="D1" t="s">
        <v>18</v>
      </c>
      <c r="E1" t="s">
        <v>21</v>
      </c>
      <c r="F1" t="s">
        <v>17</v>
      </c>
    </row>
    <row r="2" spans="1:8">
      <c r="B2" s="4">
        <v>45839</v>
      </c>
      <c r="C2">
        <v>-10.3</v>
      </c>
      <c r="D2" t="s">
        <v>93</v>
      </c>
      <c r="E2" t="s">
        <v>94</v>
      </c>
      <c r="F2" t="s">
        <v>95</v>
      </c>
    </row>
    <row r="3" spans="1:8">
      <c r="B3" s="4">
        <v>45839</v>
      </c>
      <c r="C3">
        <v>-1.5</v>
      </c>
      <c r="D3" t="s">
        <v>97</v>
      </c>
      <c r="E3" t="s">
        <v>98</v>
      </c>
      <c r="F3" t="s">
        <v>98</v>
      </c>
    </row>
    <row r="4" spans="1:8">
      <c r="A4">
        <f>SUM(C2:C4)</f>
        <v>-17.649999999999999</v>
      </c>
      <c r="B4" s="4">
        <v>45839</v>
      </c>
      <c r="C4">
        <v>-5.85</v>
      </c>
      <c r="D4" t="s">
        <v>99</v>
      </c>
      <c r="E4" t="s">
        <v>144</v>
      </c>
      <c r="F4" t="s">
        <v>100</v>
      </c>
    </row>
    <row r="5" spans="1:8">
      <c r="B5" s="4">
        <v>45840</v>
      </c>
      <c r="C5">
        <v>-10.3</v>
      </c>
      <c r="D5" t="s">
        <v>93</v>
      </c>
      <c r="E5" t="s">
        <v>94</v>
      </c>
      <c r="F5" t="s">
        <v>95</v>
      </c>
    </row>
    <row r="6" spans="1:8">
      <c r="B6" s="4">
        <v>45840</v>
      </c>
      <c r="C6">
        <v>-104.82</v>
      </c>
      <c r="D6" t="s">
        <v>101</v>
      </c>
      <c r="E6" t="s">
        <v>67</v>
      </c>
      <c r="F6" t="s">
        <v>102</v>
      </c>
    </row>
    <row r="7" spans="1:8">
      <c r="B7" s="4">
        <v>45840</v>
      </c>
      <c r="C7">
        <v>-1.5</v>
      </c>
      <c r="D7" t="s">
        <v>103</v>
      </c>
      <c r="E7" t="s">
        <v>86</v>
      </c>
      <c r="F7" t="s">
        <v>98</v>
      </c>
    </row>
    <row r="8" spans="1:8">
      <c r="B8" s="4">
        <v>45840</v>
      </c>
      <c r="C8">
        <v>-6.29</v>
      </c>
      <c r="D8" t="s">
        <v>103</v>
      </c>
      <c r="E8" t="s">
        <v>144</v>
      </c>
      <c r="F8" t="s">
        <v>104</v>
      </c>
    </row>
    <row r="9" spans="1:8">
      <c r="B9" s="4">
        <v>45840</v>
      </c>
      <c r="C9">
        <v>-11.9</v>
      </c>
      <c r="D9" t="s">
        <v>93</v>
      </c>
      <c r="E9" t="s">
        <v>105</v>
      </c>
      <c r="F9" t="s">
        <v>106</v>
      </c>
    </row>
    <row r="10" spans="1:8">
      <c r="A10">
        <f>SUM(C5:C10)</f>
        <v>-146.30000000000001</v>
      </c>
      <c r="B10" s="4">
        <v>45840</v>
      </c>
      <c r="C10">
        <v>-11.49</v>
      </c>
      <c r="D10" t="s">
        <v>93</v>
      </c>
      <c r="E10" t="s">
        <v>67</v>
      </c>
      <c r="F10" t="s">
        <v>108</v>
      </c>
    </row>
    <row r="11" spans="1:8">
      <c r="B11" s="4">
        <v>45841</v>
      </c>
      <c r="C11">
        <v>-177</v>
      </c>
      <c r="D11" t="s">
        <v>109</v>
      </c>
      <c r="E11" t="s">
        <v>145</v>
      </c>
      <c r="F11" t="s">
        <v>134</v>
      </c>
      <c r="H11" s="3"/>
    </row>
    <row r="12" spans="1:8">
      <c r="B12" s="4">
        <v>45841</v>
      </c>
      <c r="C12">
        <v>-5.75</v>
      </c>
      <c r="D12" t="s">
        <v>111</v>
      </c>
      <c r="E12" t="s">
        <v>144</v>
      </c>
      <c r="F12" t="s">
        <v>112</v>
      </c>
      <c r="H12" s="3"/>
    </row>
    <row r="13" spans="1:8">
      <c r="A13">
        <f>SUM(C11:C13)</f>
        <v>-187.06</v>
      </c>
      <c r="B13" s="4">
        <v>45841</v>
      </c>
      <c r="C13">
        <v>-4.3099999999999996</v>
      </c>
      <c r="D13" t="s">
        <v>93</v>
      </c>
      <c r="E13" t="s">
        <v>144</v>
      </c>
      <c r="F13" t="s">
        <v>113</v>
      </c>
    </row>
    <row r="14" spans="1:8">
      <c r="B14" s="4">
        <v>45842</v>
      </c>
      <c r="C14">
        <v>-34.049999999999997</v>
      </c>
      <c r="D14" t="s">
        <v>93</v>
      </c>
      <c r="E14" t="s">
        <v>131</v>
      </c>
      <c r="F14" t="s">
        <v>114</v>
      </c>
      <c r="H14" s="11"/>
    </row>
    <row r="15" spans="1:8">
      <c r="B15" s="4">
        <v>45842</v>
      </c>
      <c r="C15">
        <v>-5.92</v>
      </c>
      <c r="D15" t="s">
        <v>93</v>
      </c>
      <c r="E15" t="s">
        <v>144</v>
      </c>
      <c r="F15" t="s">
        <v>115</v>
      </c>
      <c r="H15" s="3"/>
    </row>
    <row r="16" spans="1:8">
      <c r="B16" s="4">
        <v>45842</v>
      </c>
      <c r="C16">
        <v>-6.43</v>
      </c>
      <c r="D16" t="s">
        <v>93</v>
      </c>
      <c r="E16" t="s">
        <v>144</v>
      </c>
      <c r="F16" t="s">
        <v>116</v>
      </c>
      <c r="H16" s="3"/>
    </row>
    <row r="17" spans="1:8">
      <c r="B17" s="4">
        <v>45842</v>
      </c>
      <c r="C17">
        <v>-5.31</v>
      </c>
      <c r="D17" t="s">
        <v>93</v>
      </c>
      <c r="E17" t="s">
        <v>144</v>
      </c>
      <c r="F17" t="s">
        <v>117</v>
      </c>
      <c r="H17" s="3"/>
    </row>
    <row r="18" spans="1:8">
      <c r="B18" s="4">
        <v>45842</v>
      </c>
      <c r="C18">
        <v>-31.92</v>
      </c>
      <c r="D18" t="s">
        <v>93</v>
      </c>
      <c r="E18" t="s">
        <v>126</v>
      </c>
      <c r="F18" t="s">
        <v>118</v>
      </c>
    </row>
    <row r="19" spans="1:8">
      <c r="A19">
        <f>SUM(C14:C19)</f>
        <v>-90.24</v>
      </c>
      <c r="B19" s="4">
        <v>45842</v>
      </c>
      <c r="C19">
        <v>-6.61</v>
      </c>
      <c r="D19" t="s">
        <v>103</v>
      </c>
      <c r="E19" t="s">
        <v>144</v>
      </c>
      <c r="F19" t="s">
        <v>115</v>
      </c>
    </row>
    <row r="20" spans="1:8">
      <c r="B20" s="4">
        <v>45843</v>
      </c>
      <c r="C20">
        <v>-4.05</v>
      </c>
      <c r="D20" t="s">
        <v>38</v>
      </c>
      <c r="E20" t="s">
        <v>144</v>
      </c>
      <c r="F20" t="s">
        <v>40</v>
      </c>
    </row>
    <row r="21" spans="1:8">
      <c r="B21" s="4">
        <v>45843</v>
      </c>
      <c r="C21">
        <v>-1.5</v>
      </c>
      <c r="D21" t="s">
        <v>38</v>
      </c>
      <c r="E21" t="s">
        <v>86</v>
      </c>
      <c r="F21" t="s">
        <v>43</v>
      </c>
    </row>
    <row r="22" spans="1:8">
      <c r="A22">
        <f>SUM(C20:C22)</f>
        <v>-12.85</v>
      </c>
      <c r="B22" s="4">
        <v>45843</v>
      </c>
      <c r="C22">
        <v>-7.3</v>
      </c>
      <c r="D22" t="s">
        <v>38</v>
      </c>
      <c r="E22" s="3" t="s">
        <v>45</v>
      </c>
      <c r="F22" s="3" t="s">
        <v>61</v>
      </c>
    </row>
    <row r="23" spans="1:8">
      <c r="B23" s="4">
        <v>45844</v>
      </c>
      <c r="C23">
        <v>-3</v>
      </c>
      <c r="D23" t="s">
        <v>47</v>
      </c>
      <c r="E23" t="s">
        <v>86</v>
      </c>
      <c r="F23" s="3" t="s">
        <v>48</v>
      </c>
    </row>
    <row r="24" spans="1:8">
      <c r="B24" s="4">
        <v>45844</v>
      </c>
      <c r="C24">
        <v>-10</v>
      </c>
      <c r="D24" t="s">
        <v>47</v>
      </c>
      <c r="E24" t="s">
        <v>126</v>
      </c>
      <c r="F24" s="3" t="s">
        <v>50</v>
      </c>
    </row>
    <row r="25" spans="1:8">
      <c r="B25" s="4">
        <v>45844</v>
      </c>
      <c r="C25">
        <v>-3.8</v>
      </c>
      <c r="D25" t="s">
        <v>47</v>
      </c>
      <c r="E25" t="s">
        <v>126</v>
      </c>
      <c r="F25" s="3" t="s">
        <v>51</v>
      </c>
    </row>
    <row r="26" spans="1:8">
      <c r="B26" s="4">
        <v>45844</v>
      </c>
      <c r="C26">
        <v>-22.8</v>
      </c>
      <c r="D26" t="s">
        <v>47</v>
      </c>
      <c r="E26" s="3" t="s">
        <v>52</v>
      </c>
      <c r="F26" s="3" t="s">
        <v>52</v>
      </c>
    </row>
    <row r="27" spans="1:8">
      <c r="B27" s="4">
        <v>45844</v>
      </c>
      <c r="C27">
        <v>-17.760000000000002</v>
      </c>
      <c r="D27" t="s">
        <v>47</v>
      </c>
      <c r="E27" t="s">
        <v>132</v>
      </c>
      <c r="F27" s="3" t="s">
        <v>55</v>
      </c>
    </row>
    <row r="28" spans="1:8">
      <c r="A28">
        <f>SUM(C23:C28)</f>
        <v>-71.239999999999995</v>
      </c>
      <c r="B28" s="4">
        <v>45844</v>
      </c>
      <c r="C28">
        <v>-13.88</v>
      </c>
      <c r="D28" t="s">
        <v>53</v>
      </c>
      <c r="E28" s="3" t="s">
        <v>45</v>
      </c>
      <c r="F28" s="3" t="s">
        <v>54</v>
      </c>
    </row>
    <row r="29" spans="1:8">
      <c r="B29" s="4">
        <v>45845</v>
      </c>
      <c r="C29">
        <v>-1.5</v>
      </c>
      <c r="D29" t="s">
        <v>39</v>
      </c>
      <c r="E29" t="s">
        <v>86</v>
      </c>
      <c r="F29" s="3" t="s">
        <v>56</v>
      </c>
    </row>
    <row r="30" spans="1:8">
      <c r="B30" s="4">
        <v>45845</v>
      </c>
      <c r="C30">
        <v>-20</v>
      </c>
      <c r="D30" t="s">
        <v>39</v>
      </c>
      <c r="E30" s="11" t="s">
        <v>150</v>
      </c>
      <c r="F30" s="3" t="s">
        <v>57</v>
      </c>
    </row>
    <row r="31" spans="1:8">
      <c r="B31" s="4">
        <v>45845</v>
      </c>
      <c r="C31">
        <v>-100</v>
      </c>
      <c r="D31" t="s">
        <v>39</v>
      </c>
      <c r="E31" s="3" t="s">
        <v>146</v>
      </c>
      <c r="F31" s="3" t="s">
        <v>58</v>
      </c>
    </row>
    <row r="32" spans="1:8">
      <c r="B32" s="4">
        <v>45845</v>
      </c>
      <c r="C32">
        <v>-16.899999999999999</v>
      </c>
      <c r="D32" t="s">
        <v>59</v>
      </c>
      <c r="E32" s="3" t="s">
        <v>60</v>
      </c>
      <c r="F32" s="3" t="s">
        <v>137</v>
      </c>
    </row>
    <row r="33" spans="1:6">
      <c r="A33">
        <f>SUM(C29:C33)</f>
        <v>-143.81</v>
      </c>
      <c r="B33" s="4">
        <v>45845</v>
      </c>
      <c r="C33">
        <v>-5.41</v>
      </c>
      <c r="D33" t="s">
        <v>24</v>
      </c>
      <c r="E33" s="3" t="s">
        <v>125</v>
      </c>
      <c r="F33" s="3" t="s">
        <v>63</v>
      </c>
    </row>
    <row r="34" spans="1:6">
      <c r="B34" s="4">
        <v>45846</v>
      </c>
      <c r="C34">
        <v>-5.36</v>
      </c>
      <c r="D34" t="s">
        <v>22</v>
      </c>
      <c r="E34" t="s">
        <v>144</v>
      </c>
      <c r="F34" t="s">
        <v>40</v>
      </c>
    </row>
    <row r="35" spans="1:6">
      <c r="A35">
        <f>SUM(C34:C35)</f>
        <v>-9.2200000000000006</v>
      </c>
      <c r="B35" s="4">
        <v>45846</v>
      </c>
      <c r="C35">
        <v>-3.86</v>
      </c>
      <c r="D35" t="s">
        <v>22</v>
      </c>
      <c r="E35" t="s">
        <v>144</v>
      </c>
      <c r="F35" t="s">
        <v>64</v>
      </c>
    </row>
    <row r="36" spans="1:6">
      <c r="B36" s="4">
        <v>45847</v>
      </c>
      <c r="C36">
        <v>-4.99</v>
      </c>
      <c r="D36" t="s">
        <v>22</v>
      </c>
      <c r="E36" t="s">
        <v>144</v>
      </c>
      <c r="F36" t="s">
        <v>40</v>
      </c>
    </row>
    <row r="37" spans="1:6">
      <c r="B37" s="4">
        <v>45847</v>
      </c>
      <c r="C37">
        <v>-195</v>
      </c>
      <c r="D37" t="s">
        <v>99</v>
      </c>
      <c r="E37" s="3" t="s">
        <v>133</v>
      </c>
      <c r="F37" t="s">
        <v>121</v>
      </c>
    </row>
    <row r="38" spans="1:6">
      <c r="B38" s="4">
        <v>45847</v>
      </c>
      <c r="C38">
        <v>-84</v>
      </c>
      <c r="D38" t="s">
        <v>47</v>
      </c>
      <c r="E38" s="3" t="s">
        <v>147</v>
      </c>
      <c r="F38" t="s">
        <v>170</v>
      </c>
    </row>
    <row r="39" spans="1:6">
      <c r="A39">
        <f>SUM(C36:C39)</f>
        <v>-285.49</v>
      </c>
      <c r="B39" s="4">
        <v>45847</v>
      </c>
      <c r="C39">
        <v>-1.5</v>
      </c>
      <c r="D39" t="s">
        <v>38</v>
      </c>
      <c r="E39" t="s">
        <v>86</v>
      </c>
      <c r="F39" t="s">
        <v>43</v>
      </c>
    </row>
    <row r="40" spans="1:6">
      <c r="B40" s="4">
        <v>45848</v>
      </c>
      <c r="C40">
        <v>-10</v>
      </c>
      <c r="D40" t="s">
        <v>22</v>
      </c>
      <c r="E40" t="s">
        <v>144</v>
      </c>
      <c r="F40" s="3" t="s">
        <v>65</v>
      </c>
    </row>
    <row r="41" spans="1:6">
      <c r="A41">
        <f>SUM(C40:C41)</f>
        <v>-35.010000000000005</v>
      </c>
      <c r="B41" s="4">
        <v>45848</v>
      </c>
      <c r="C41">
        <v>-25.01</v>
      </c>
      <c r="D41" t="s">
        <v>10</v>
      </c>
      <c r="E41" t="s">
        <v>148</v>
      </c>
      <c r="F41" s="3" t="s">
        <v>66</v>
      </c>
    </row>
    <row r="42" spans="1:6">
      <c r="B42" s="4">
        <v>45849</v>
      </c>
      <c r="C42">
        <v>-0.1</v>
      </c>
      <c r="D42" t="s">
        <v>80</v>
      </c>
      <c r="E42" s="11" t="s">
        <v>150</v>
      </c>
      <c r="F42" s="3" t="s">
        <v>81</v>
      </c>
    </row>
    <row r="43" spans="1:6">
      <c r="B43" s="4">
        <v>45849</v>
      </c>
      <c r="C43">
        <v>-6.54</v>
      </c>
      <c r="D43" t="s">
        <v>80</v>
      </c>
      <c r="E43" t="s">
        <v>144</v>
      </c>
      <c r="F43" t="s">
        <v>40</v>
      </c>
    </row>
    <row r="44" spans="1:6">
      <c r="B44" s="4">
        <v>45849</v>
      </c>
      <c r="C44">
        <v>-66</v>
      </c>
      <c r="D44" t="s">
        <v>80</v>
      </c>
      <c r="E44" s="3" t="s">
        <v>124</v>
      </c>
      <c r="F44" t="s">
        <v>82</v>
      </c>
    </row>
    <row r="45" spans="1:6">
      <c r="B45" s="4">
        <v>45849</v>
      </c>
      <c r="C45">
        <v>-113</v>
      </c>
      <c r="D45" t="s">
        <v>120</v>
      </c>
      <c r="E45" s="3" t="s">
        <v>110</v>
      </c>
      <c r="F45" t="s">
        <v>241</v>
      </c>
    </row>
    <row r="46" spans="1:6">
      <c r="B46" s="4">
        <v>45849</v>
      </c>
      <c r="C46">
        <v>-14.16</v>
      </c>
      <c r="D46" t="s">
        <v>80</v>
      </c>
      <c r="E46" s="3" t="s">
        <v>149</v>
      </c>
      <c r="F46" t="s">
        <v>83</v>
      </c>
    </row>
    <row r="47" spans="1:6">
      <c r="B47" s="4">
        <v>45849</v>
      </c>
      <c r="C47">
        <v>-10.3</v>
      </c>
      <c r="D47" t="s">
        <v>80</v>
      </c>
      <c r="E47" s="3" t="s">
        <v>45</v>
      </c>
      <c r="F47" t="s">
        <v>84</v>
      </c>
    </row>
    <row r="48" spans="1:6">
      <c r="B48" s="4">
        <v>45849</v>
      </c>
      <c r="C48">
        <v>-3</v>
      </c>
      <c r="D48" t="s">
        <v>85</v>
      </c>
      <c r="E48" t="s">
        <v>86</v>
      </c>
      <c r="F48" t="s">
        <v>86</v>
      </c>
    </row>
    <row r="49" spans="1:6">
      <c r="A49">
        <f>SUM(C42:C49)</f>
        <v>-238.1</v>
      </c>
      <c r="B49" s="4">
        <v>45849</v>
      </c>
      <c r="C49">
        <v>-25</v>
      </c>
      <c r="D49" t="s">
        <v>87</v>
      </c>
      <c r="E49" t="s">
        <v>88</v>
      </c>
      <c r="F49" t="s">
        <v>88</v>
      </c>
    </row>
    <row r="50" spans="1:6">
      <c r="B50" s="4">
        <v>45850</v>
      </c>
      <c r="C50">
        <v>-91</v>
      </c>
      <c r="D50" t="s">
        <v>120</v>
      </c>
      <c r="E50" s="3" t="s">
        <v>110</v>
      </c>
      <c r="F50" t="s">
        <v>241</v>
      </c>
    </row>
    <row r="51" spans="1:6">
      <c r="B51" s="4">
        <v>45850</v>
      </c>
      <c r="C51">
        <v>-18</v>
      </c>
      <c r="D51" t="s">
        <v>89</v>
      </c>
      <c r="E51" t="s">
        <v>136</v>
      </c>
      <c r="F51" t="s">
        <v>135</v>
      </c>
    </row>
    <row r="52" spans="1:6">
      <c r="B52" s="4">
        <v>45850</v>
      </c>
      <c r="C52">
        <v>-7.46</v>
      </c>
      <c r="D52" t="s">
        <v>90</v>
      </c>
      <c r="E52" t="s">
        <v>91</v>
      </c>
      <c r="F52" t="s">
        <v>92</v>
      </c>
    </row>
    <row r="53" spans="1:6">
      <c r="A53">
        <f>SUM(C51:C53)</f>
        <v>-42.36</v>
      </c>
      <c r="B53" s="4">
        <v>45850</v>
      </c>
      <c r="C53">
        <v>-16.899999999999999</v>
      </c>
      <c r="D53" t="s">
        <v>99</v>
      </c>
      <c r="E53" t="s">
        <v>119</v>
      </c>
      <c r="F53" t="s">
        <v>92</v>
      </c>
    </row>
    <row r="54" spans="1:6">
      <c r="B54" s="4">
        <v>45851</v>
      </c>
      <c r="C54">
        <v>-110</v>
      </c>
      <c r="D54" t="s">
        <v>99</v>
      </c>
      <c r="E54" t="s">
        <v>124</v>
      </c>
      <c r="F54" t="s">
        <v>240</v>
      </c>
    </row>
    <row r="55" spans="1:6">
      <c r="B55" s="4">
        <v>45851</v>
      </c>
      <c r="C55">
        <v>-22.8</v>
      </c>
      <c r="D55" t="s">
        <v>152</v>
      </c>
      <c r="E55" t="s">
        <v>153</v>
      </c>
      <c r="F55" t="s">
        <v>167</v>
      </c>
    </row>
    <row r="56" spans="1:6">
      <c r="B56" s="4">
        <v>45851</v>
      </c>
      <c r="C56">
        <v>-9.8000000000000007</v>
      </c>
      <c r="D56" t="s">
        <v>152</v>
      </c>
      <c r="E56" t="s">
        <v>154</v>
      </c>
      <c r="F56" t="s">
        <v>155</v>
      </c>
    </row>
    <row r="57" spans="1:6">
      <c r="B57" s="4">
        <v>45851</v>
      </c>
      <c r="C57">
        <v>-6</v>
      </c>
      <c r="D57" t="s">
        <v>156</v>
      </c>
      <c r="E57" t="s">
        <v>153</v>
      </c>
      <c r="F57" t="s">
        <v>159</v>
      </c>
    </row>
    <row r="58" spans="1:6">
      <c r="B58" s="4">
        <v>45851</v>
      </c>
      <c r="C58">
        <v>-194.92</v>
      </c>
      <c r="D58" t="s">
        <v>157</v>
      </c>
      <c r="E58" t="s">
        <v>158</v>
      </c>
      <c r="F58" t="s">
        <v>160</v>
      </c>
    </row>
    <row r="59" spans="1:6">
      <c r="A59">
        <f>SUM(C54:C59)</f>
        <v>-422.21999999999997</v>
      </c>
      <c r="B59" s="4">
        <v>45851</v>
      </c>
      <c r="C59">
        <v>-78.7</v>
      </c>
      <c r="D59" t="s">
        <v>161</v>
      </c>
      <c r="E59" t="s">
        <v>162</v>
      </c>
      <c r="F59" t="s">
        <v>163</v>
      </c>
    </row>
    <row r="60" spans="1:6">
      <c r="B60" s="4">
        <v>45852</v>
      </c>
      <c r="C60">
        <v>-9.8000000000000007</v>
      </c>
      <c r="D60" t="s">
        <v>177</v>
      </c>
      <c r="E60" t="s">
        <v>189</v>
      </c>
      <c r="F60" t="s">
        <v>190</v>
      </c>
    </row>
    <row r="61" spans="1:6">
      <c r="B61" s="4">
        <v>45852</v>
      </c>
      <c r="C61">
        <v>-69.900000000000006</v>
      </c>
      <c r="D61" t="s">
        <v>156</v>
      </c>
      <c r="E61" t="s">
        <v>164</v>
      </c>
      <c r="F61" t="s">
        <v>227</v>
      </c>
    </row>
    <row r="62" spans="1:6">
      <c r="A62">
        <f>SUM(C60:C62)</f>
        <v>-81.2</v>
      </c>
      <c r="B62" s="4">
        <v>45852</v>
      </c>
      <c r="C62">
        <v>-1.5</v>
      </c>
      <c r="D62" t="s">
        <v>156</v>
      </c>
      <c r="E62" t="s">
        <v>165</v>
      </c>
      <c r="F62" t="s">
        <v>166</v>
      </c>
    </row>
    <row r="63" spans="1:6">
      <c r="B63" s="4">
        <v>45853</v>
      </c>
      <c r="C63">
        <v>-1.5</v>
      </c>
      <c r="D63" t="s">
        <v>171</v>
      </c>
      <c r="E63" t="s">
        <v>172</v>
      </c>
      <c r="F63" t="s">
        <v>172</v>
      </c>
    </row>
    <row r="64" spans="1:6">
      <c r="A64">
        <f>SUM(C63:C64)</f>
        <v>-9.4</v>
      </c>
      <c r="B64" s="4">
        <v>45853</v>
      </c>
      <c r="C64">
        <v>-7.9</v>
      </c>
      <c r="D64" t="s">
        <v>173</v>
      </c>
      <c r="E64" t="s">
        <v>174</v>
      </c>
      <c r="F64" t="s">
        <v>175</v>
      </c>
    </row>
    <row r="65" spans="1:6">
      <c r="B65" s="4">
        <v>45854</v>
      </c>
      <c r="C65">
        <v>-1.5</v>
      </c>
      <c r="D65" t="s">
        <v>171</v>
      </c>
      <c r="E65" t="s">
        <v>172</v>
      </c>
      <c r="F65" t="s">
        <v>172</v>
      </c>
    </row>
    <row r="66" spans="1:6">
      <c r="B66" s="4">
        <v>45854</v>
      </c>
      <c r="C66">
        <v>-18.8</v>
      </c>
      <c r="D66" t="s">
        <v>177</v>
      </c>
      <c r="E66" t="s">
        <v>178</v>
      </c>
      <c r="F66" t="s">
        <v>179</v>
      </c>
    </row>
    <row r="67" spans="1:6">
      <c r="B67" s="4">
        <v>45854</v>
      </c>
      <c r="C67">
        <v>-29.9</v>
      </c>
      <c r="D67" t="s">
        <v>180</v>
      </c>
      <c r="E67" t="s">
        <v>181</v>
      </c>
      <c r="F67" t="s">
        <v>182</v>
      </c>
    </row>
    <row r="68" spans="1:6">
      <c r="B68" s="4">
        <v>45854</v>
      </c>
      <c r="C68">
        <v>-59</v>
      </c>
      <c r="D68" t="s">
        <v>177</v>
      </c>
      <c r="E68" t="s">
        <v>183</v>
      </c>
      <c r="F68" t="s">
        <v>184</v>
      </c>
    </row>
    <row r="69" spans="1:6">
      <c r="B69" s="4">
        <v>45854</v>
      </c>
      <c r="C69">
        <v>-59</v>
      </c>
      <c r="D69" t="s">
        <v>177</v>
      </c>
      <c r="E69" t="s">
        <v>183</v>
      </c>
      <c r="F69" t="s">
        <v>184</v>
      </c>
    </row>
    <row r="70" spans="1:6">
      <c r="A70">
        <f>SUM(C65:C70)</f>
        <v>-173.51999999999998</v>
      </c>
      <c r="B70" s="4">
        <v>45854</v>
      </c>
      <c r="C70">
        <v>-5.32</v>
      </c>
      <c r="D70" t="s">
        <v>177</v>
      </c>
      <c r="E70" t="s">
        <v>187</v>
      </c>
      <c r="F70" t="s">
        <v>188</v>
      </c>
    </row>
    <row r="71" spans="1:6">
      <c r="B71" s="4">
        <v>45855</v>
      </c>
      <c r="C71">
        <v>-6.5</v>
      </c>
      <c r="D71" t="s">
        <v>195</v>
      </c>
      <c r="E71" t="s">
        <v>196</v>
      </c>
      <c r="F71" t="s">
        <v>197</v>
      </c>
    </row>
    <row r="72" spans="1:6">
      <c r="B72" s="4">
        <v>45855</v>
      </c>
      <c r="C72">
        <v>-1.5</v>
      </c>
      <c r="D72" t="s">
        <v>195</v>
      </c>
      <c r="E72" t="s">
        <v>198</v>
      </c>
      <c r="F72" t="s">
        <v>199</v>
      </c>
    </row>
    <row r="73" spans="1:6">
      <c r="A73">
        <f>SUM(C71:C73)</f>
        <v>-27.18</v>
      </c>
      <c r="B73" s="4">
        <v>45855</v>
      </c>
      <c r="C73">
        <v>-19.18</v>
      </c>
      <c r="D73" t="s">
        <v>223</v>
      </c>
      <c r="E73" t="s">
        <v>218</v>
      </c>
      <c r="F73" t="s">
        <v>219</v>
      </c>
    </row>
    <row r="74" spans="1:6">
      <c r="B74" s="4">
        <v>45856</v>
      </c>
      <c r="C74">
        <v>-3</v>
      </c>
      <c r="D74" t="s">
        <v>195</v>
      </c>
      <c r="E74" t="s">
        <v>200</v>
      </c>
      <c r="F74" t="s">
        <v>201</v>
      </c>
    </row>
    <row r="75" spans="1:6">
      <c r="B75" s="4">
        <v>45856</v>
      </c>
      <c r="C75">
        <v>-1.5</v>
      </c>
      <c r="D75" t="s">
        <v>195</v>
      </c>
      <c r="E75" t="s">
        <v>198</v>
      </c>
      <c r="F75" t="s">
        <v>199</v>
      </c>
    </row>
    <row r="76" spans="1:6">
      <c r="B76" s="4">
        <v>45856</v>
      </c>
      <c r="C76">
        <v>-9.41</v>
      </c>
      <c r="D76" t="s">
        <v>195</v>
      </c>
      <c r="E76" t="s">
        <v>202</v>
      </c>
      <c r="F76" t="s">
        <v>203</v>
      </c>
    </row>
    <row r="77" spans="1:6">
      <c r="A77">
        <f>SUM(C74:C77)</f>
        <v>-25.71</v>
      </c>
      <c r="B77" s="4">
        <v>45856</v>
      </c>
      <c r="C77">
        <v>-11.8</v>
      </c>
      <c r="D77" t="s">
        <v>195</v>
      </c>
      <c r="E77" t="s">
        <v>204</v>
      </c>
      <c r="F77" t="s">
        <v>205</v>
      </c>
    </row>
    <row r="78" spans="1:6">
      <c r="B78" s="4">
        <v>45857</v>
      </c>
      <c r="C78">
        <v>-9.8000000000000007</v>
      </c>
      <c r="D78" t="s">
        <v>193</v>
      </c>
      <c r="E78" t="s">
        <v>206</v>
      </c>
      <c r="F78" t="s">
        <v>205</v>
      </c>
    </row>
    <row r="79" spans="1:6">
      <c r="B79" s="4">
        <v>45857</v>
      </c>
      <c r="C79">
        <v>-7.5</v>
      </c>
      <c r="D79" t="s">
        <v>195</v>
      </c>
      <c r="E79" t="s">
        <v>207</v>
      </c>
      <c r="F79" t="s">
        <v>208</v>
      </c>
    </row>
    <row r="80" spans="1:6">
      <c r="B80" s="4">
        <v>45857</v>
      </c>
      <c r="C80">
        <v>-5.05</v>
      </c>
      <c r="D80" t="s">
        <v>209</v>
      </c>
      <c r="E80" t="s">
        <v>210</v>
      </c>
      <c r="F80" t="s">
        <v>239</v>
      </c>
    </row>
    <row r="81" spans="1:6">
      <c r="B81" s="4">
        <v>45857</v>
      </c>
      <c r="C81">
        <v>-17.32</v>
      </c>
      <c r="D81" t="s">
        <v>222</v>
      </c>
      <c r="E81" t="s">
        <v>220</v>
      </c>
      <c r="F81" t="s">
        <v>221</v>
      </c>
    </row>
    <row r="82" spans="1:6">
      <c r="A82">
        <f>SUM(C78:C82)</f>
        <v>-52.67</v>
      </c>
      <c r="B82" s="4">
        <v>45857</v>
      </c>
      <c r="C82">
        <v>-13</v>
      </c>
      <c r="D82" t="s">
        <v>223</v>
      </c>
      <c r="E82" t="s">
        <v>224</v>
      </c>
      <c r="F82" t="s">
        <v>225</v>
      </c>
    </row>
    <row r="83" spans="1:6">
      <c r="B83" s="4">
        <v>45858</v>
      </c>
      <c r="C83">
        <v>-15</v>
      </c>
      <c r="D83" t="s">
        <v>195</v>
      </c>
      <c r="F83" t="s">
        <v>211</v>
      </c>
    </row>
    <row r="84" spans="1:6">
      <c r="B84" s="4">
        <v>45858</v>
      </c>
      <c r="C84">
        <v>-8.8800000000000008</v>
      </c>
      <c r="D84" t="s">
        <v>195</v>
      </c>
      <c r="E84" t="s">
        <v>212</v>
      </c>
      <c r="F84" t="s">
        <v>213</v>
      </c>
    </row>
    <row r="85" spans="1:6">
      <c r="B85" s="4">
        <v>45858</v>
      </c>
      <c r="C85">
        <v>-140</v>
      </c>
      <c r="D85" t="s">
        <v>195</v>
      </c>
      <c r="E85" t="s">
        <v>214</v>
      </c>
      <c r="F85" t="s">
        <v>215</v>
      </c>
    </row>
    <row r="86" spans="1:6">
      <c r="A86">
        <f>SUM(C83:C86)</f>
        <v>-173.54999999999998</v>
      </c>
      <c r="B86" s="4">
        <v>45858</v>
      </c>
      <c r="C86">
        <v>-9.67</v>
      </c>
      <c r="D86" t="s">
        <v>195</v>
      </c>
      <c r="F86" t="s">
        <v>216</v>
      </c>
    </row>
    <row r="87" spans="1:6">
      <c r="B87" s="4">
        <v>45859</v>
      </c>
      <c r="C87">
        <v>-3</v>
      </c>
      <c r="D87" t="s">
        <v>195</v>
      </c>
      <c r="E87" t="s">
        <v>217</v>
      </c>
      <c r="F87" t="s">
        <v>217</v>
      </c>
    </row>
    <row r="88" spans="1:6">
      <c r="A88">
        <f>SUM(C87:C88)</f>
        <v>-10.879999999999999</v>
      </c>
      <c r="B88" s="4">
        <v>45859</v>
      </c>
      <c r="C88">
        <v>-7.88</v>
      </c>
      <c r="D88" t="s">
        <v>195</v>
      </c>
      <c r="E88" t="s">
        <v>214</v>
      </c>
      <c r="F88" t="s">
        <v>205</v>
      </c>
    </row>
    <row r="89" spans="1:6">
      <c r="B89" s="4">
        <v>45860</v>
      </c>
      <c r="C89">
        <v>-4.9000000000000004</v>
      </c>
      <c r="D89" t="s">
        <v>230</v>
      </c>
      <c r="F89" t="s">
        <v>231</v>
      </c>
    </row>
    <row r="90" spans="1:6">
      <c r="B90" s="4">
        <v>45860</v>
      </c>
      <c r="C90">
        <v>-7.4</v>
      </c>
      <c r="D90" t="s">
        <v>232</v>
      </c>
      <c r="E90" t="s">
        <v>233</v>
      </c>
      <c r="F90" t="s">
        <v>234</v>
      </c>
    </row>
    <row r="91" spans="1:6">
      <c r="A91">
        <f>SUM(C89:C91)</f>
        <v>-25.29</v>
      </c>
      <c r="B91" s="4">
        <v>45860</v>
      </c>
      <c r="C91">
        <v>-12.99</v>
      </c>
      <c r="D91" t="s">
        <v>235</v>
      </c>
      <c r="E91" t="s">
        <v>236</v>
      </c>
      <c r="F91" t="s">
        <v>237</v>
      </c>
    </row>
    <row r="92" spans="1:6">
      <c r="B92" s="4">
        <v>45861</v>
      </c>
      <c r="C92">
        <v>-178</v>
      </c>
      <c r="D92" t="s">
        <v>243</v>
      </c>
      <c r="E92" t="s">
        <v>244</v>
      </c>
      <c r="F92" t="s">
        <v>245</v>
      </c>
    </row>
    <row r="93" spans="1:6">
      <c r="B93" s="4">
        <v>45861</v>
      </c>
      <c r="C93">
        <v>-0.51</v>
      </c>
      <c r="D93" t="s">
        <v>247</v>
      </c>
      <c r="E93" t="s">
        <v>198</v>
      </c>
      <c r="F93" t="s">
        <v>246</v>
      </c>
    </row>
    <row r="94" spans="1:6">
      <c r="A94">
        <f>SUM(C92:C94)</f>
        <v>-193.20999999999998</v>
      </c>
      <c r="B94" s="4">
        <v>45861</v>
      </c>
      <c r="C94">
        <v>-14.7</v>
      </c>
      <c r="D94" t="s">
        <v>247</v>
      </c>
      <c r="E94" t="s">
        <v>248</v>
      </c>
      <c r="F94" t="s">
        <v>249</v>
      </c>
    </row>
    <row r="95" spans="1:6">
      <c r="B95" s="4">
        <v>45862</v>
      </c>
      <c r="C95">
        <v>-14.98</v>
      </c>
      <c r="D95" t="s">
        <v>247</v>
      </c>
      <c r="E95" t="s">
        <v>250</v>
      </c>
      <c r="F95" t="s">
        <v>251</v>
      </c>
    </row>
    <row r="96" spans="1:6">
      <c r="B96" s="4">
        <v>45862</v>
      </c>
      <c r="C96">
        <v>-4</v>
      </c>
      <c r="D96" t="s">
        <v>252</v>
      </c>
      <c r="E96" t="s">
        <v>253</v>
      </c>
      <c r="F96" t="s">
        <v>254</v>
      </c>
    </row>
    <row r="97" spans="1:6">
      <c r="A97">
        <f>SUM(C95:C97)</f>
        <v>-37.68</v>
      </c>
      <c r="B97" s="4">
        <v>45862</v>
      </c>
      <c r="C97">
        <v>-18.7</v>
      </c>
      <c r="D97" t="s">
        <v>255</v>
      </c>
      <c r="E97" t="s">
        <v>256</v>
      </c>
      <c r="F97" t="s">
        <v>257</v>
      </c>
    </row>
    <row r="98" spans="1:6">
      <c r="B98" s="4">
        <v>45863</v>
      </c>
      <c r="C98">
        <v>-14.9</v>
      </c>
      <c r="D98" t="s">
        <v>263</v>
      </c>
      <c r="E98" t="s">
        <v>264</v>
      </c>
      <c r="F98" t="s">
        <v>265</v>
      </c>
    </row>
    <row r="99" spans="1:6">
      <c r="A99">
        <f>SUM(C98:C99)</f>
        <v>-23.46</v>
      </c>
      <c r="B99" s="4">
        <v>45863</v>
      </c>
      <c r="C99">
        <v>-8.56</v>
      </c>
      <c r="D99" t="s">
        <v>266</v>
      </c>
      <c r="F99" t="s">
        <v>267</v>
      </c>
    </row>
    <row r="100" spans="1:6">
      <c r="B100" s="4">
        <v>45864</v>
      </c>
      <c r="C100">
        <v>-8.1</v>
      </c>
      <c r="D100" t="s">
        <v>268</v>
      </c>
      <c r="E100" t="s">
        <v>269</v>
      </c>
      <c r="F100" t="s">
        <v>270</v>
      </c>
    </row>
    <row r="101" spans="1:6">
      <c r="B101" s="4">
        <v>45864</v>
      </c>
      <c r="C101">
        <v>-25</v>
      </c>
      <c r="D101" t="s">
        <v>268</v>
      </c>
      <c r="E101" t="s">
        <v>244</v>
      </c>
      <c r="F101" t="s">
        <v>245</v>
      </c>
    </row>
    <row r="102" spans="1:6">
      <c r="B102" s="4">
        <v>45864</v>
      </c>
      <c r="C102">
        <v>-17.82</v>
      </c>
      <c r="D102" t="s">
        <v>271</v>
      </c>
      <c r="E102" t="s">
        <v>272</v>
      </c>
      <c r="F102" t="s">
        <v>273</v>
      </c>
    </row>
    <row r="103" spans="1:6">
      <c r="A103">
        <f>SUM(C100:C103)</f>
        <v>-51.47</v>
      </c>
      <c r="B103" s="4">
        <v>45864</v>
      </c>
      <c r="C103">
        <v>-0.55000000000000004</v>
      </c>
      <c r="D103" t="s">
        <v>274</v>
      </c>
      <c r="E103" t="s">
        <v>275</v>
      </c>
      <c r="F103" t="s">
        <v>286</v>
      </c>
    </row>
    <row r="104" spans="1:6">
      <c r="B104" s="4">
        <v>45865</v>
      </c>
      <c r="C104">
        <v>-8.8800000000000008</v>
      </c>
      <c r="D104" t="s">
        <v>280</v>
      </c>
      <c r="E104" t="s">
        <v>281</v>
      </c>
      <c r="F104" t="s">
        <v>282</v>
      </c>
    </row>
    <row r="105" spans="1:6">
      <c r="A105">
        <f>SUM(C104:C105)</f>
        <v>-10.47</v>
      </c>
      <c r="B105" s="4">
        <v>45865</v>
      </c>
      <c r="C105">
        <v>-1.59</v>
      </c>
      <c r="D105" t="s">
        <v>283</v>
      </c>
      <c r="E105" t="s">
        <v>284</v>
      </c>
      <c r="F105" t="s">
        <v>285</v>
      </c>
    </row>
    <row r="106" spans="1:6">
      <c r="B106" s="4">
        <v>45866</v>
      </c>
      <c r="C106">
        <v>-100</v>
      </c>
      <c r="D106" t="s">
        <v>280</v>
      </c>
      <c r="E106" s="3" t="s">
        <v>143</v>
      </c>
      <c r="F106" s="3" t="s">
        <v>58</v>
      </c>
    </row>
    <row r="107" spans="1:6">
      <c r="B107" s="4">
        <v>45866</v>
      </c>
      <c r="C107">
        <v>-10.51</v>
      </c>
      <c r="D107" t="s">
        <v>280</v>
      </c>
      <c r="F107" s="3" t="s">
        <v>287</v>
      </c>
    </row>
    <row r="108" spans="1:6">
      <c r="B108" s="4">
        <v>45866</v>
      </c>
      <c r="C108">
        <v>-27.05</v>
      </c>
      <c r="D108" t="s">
        <v>288</v>
      </c>
      <c r="F108" s="3" t="s">
        <v>289</v>
      </c>
    </row>
    <row r="109" spans="1:6">
      <c r="B109" s="4">
        <v>45866</v>
      </c>
      <c r="C109">
        <v>-16.309999999999999</v>
      </c>
      <c r="D109" t="s">
        <v>280</v>
      </c>
      <c r="E109" t="s">
        <v>290</v>
      </c>
      <c r="F109" s="3" t="s">
        <v>291</v>
      </c>
    </row>
    <row r="110" spans="1:6">
      <c r="A110">
        <f>SUM(C106:C110)</f>
        <v>-155.37</v>
      </c>
      <c r="B110" s="4">
        <v>45866</v>
      </c>
      <c r="C110">
        <v>-1.5</v>
      </c>
      <c r="D110" t="s">
        <v>288</v>
      </c>
      <c r="F110" s="3" t="s">
        <v>292</v>
      </c>
    </row>
    <row r="111" spans="1:6">
      <c r="B111" s="4">
        <v>45867</v>
      </c>
      <c r="C111">
        <v>-4.5</v>
      </c>
      <c r="D111" t="s">
        <v>293</v>
      </c>
      <c r="E111" t="s">
        <v>294</v>
      </c>
      <c r="F111" s="3" t="s">
        <v>295</v>
      </c>
    </row>
    <row r="112" spans="1:6">
      <c r="A112">
        <f>SUM(C111:C112)</f>
        <v>-12.8</v>
      </c>
      <c r="B112" s="4">
        <v>45867</v>
      </c>
      <c r="C112">
        <v>-8.3000000000000007</v>
      </c>
      <c r="D112" t="s">
        <v>293</v>
      </c>
      <c r="E112" t="s">
        <v>296</v>
      </c>
      <c r="F112" s="3" t="s">
        <v>297</v>
      </c>
    </row>
    <row r="113" spans="1:6">
      <c r="B113" s="4">
        <v>45868</v>
      </c>
      <c r="C113">
        <v>-4</v>
      </c>
      <c r="D113" t="s">
        <v>298</v>
      </c>
      <c r="E113" t="s">
        <v>299</v>
      </c>
      <c r="F113" s="3" t="s">
        <v>300</v>
      </c>
    </row>
    <row r="114" spans="1:6">
      <c r="A114">
        <f>SUM(C113:C114)</f>
        <v>-21.75</v>
      </c>
      <c r="B114" s="4">
        <v>45868</v>
      </c>
      <c r="C114">
        <v>-17.75</v>
      </c>
      <c r="D114" t="s">
        <v>301</v>
      </c>
      <c r="E114" t="s">
        <v>302</v>
      </c>
      <c r="F114" s="3" t="s">
        <v>303</v>
      </c>
    </row>
    <row r="115" spans="1:6">
      <c r="B115" s="4">
        <v>45869</v>
      </c>
      <c r="C115">
        <v>-49</v>
      </c>
      <c r="D115" t="s">
        <v>304</v>
      </c>
      <c r="E115" t="s">
        <v>305</v>
      </c>
      <c r="F115" s="3" t="s">
        <v>306</v>
      </c>
    </row>
    <row r="116" spans="1:6">
      <c r="A116" s="24">
        <f>SUM(C115:C116)</f>
        <v>-65.819999999999993</v>
      </c>
      <c r="B116" s="25">
        <v>45869</v>
      </c>
      <c r="C116" s="24">
        <v>-16.82</v>
      </c>
      <c r="D116" s="24" t="s">
        <v>307</v>
      </c>
      <c r="E116" s="24" t="s">
        <v>308</v>
      </c>
      <c r="F116" s="24" t="s">
        <v>309</v>
      </c>
    </row>
    <row r="117" spans="1:6">
      <c r="B117" s="4">
        <v>45870</v>
      </c>
      <c r="C117">
        <v>-4</v>
      </c>
      <c r="D117" t="s">
        <v>310</v>
      </c>
      <c r="E117" t="s">
        <v>311</v>
      </c>
      <c r="F117" s="3" t="s">
        <v>312</v>
      </c>
    </row>
    <row r="118" spans="1:6">
      <c r="B118" s="4">
        <v>45870</v>
      </c>
      <c r="C118">
        <v>-178</v>
      </c>
      <c r="D118" t="s">
        <v>313</v>
      </c>
      <c r="E118" t="s">
        <v>314</v>
      </c>
      <c r="F118" s="3" t="s">
        <v>52</v>
      </c>
    </row>
    <row r="119" spans="1:6">
      <c r="B119" s="4">
        <v>45870</v>
      </c>
      <c r="C119">
        <v>-14.9</v>
      </c>
      <c r="D119" t="s">
        <v>315</v>
      </c>
      <c r="E119" t="s">
        <v>316</v>
      </c>
      <c r="F119" s="3" t="s">
        <v>317</v>
      </c>
    </row>
    <row r="120" spans="1:6">
      <c r="A120" s="15">
        <f>SUM(C117:C120)</f>
        <v>-680.4</v>
      </c>
      <c r="B120" s="4">
        <v>45870</v>
      </c>
      <c r="C120">
        <v>-483.5</v>
      </c>
      <c r="D120" t="s">
        <v>599</v>
      </c>
      <c r="E120" t="s">
        <v>319</v>
      </c>
      <c r="F120" s="3" t="s">
        <v>318</v>
      </c>
    </row>
    <row r="121" spans="1:6">
      <c r="A121">
        <v>-5</v>
      </c>
      <c r="B121" s="4">
        <v>45871</v>
      </c>
      <c r="C121">
        <v>-5</v>
      </c>
      <c r="D121" t="s">
        <v>320</v>
      </c>
      <c r="E121" t="s">
        <v>321</v>
      </c>
      <c r="F121" s="3" t="s">
        <v>330</v>
      </c>
    </row>
    <row r="122" spans="1:6">
      <c r="B122" s="4">
        <v>45872</v>
      </c>
      <c r="C122">
        <v>-1.82</v>
      </c>
      <c r="D122" t="s">
        <v>322</v>
      </c>
      <c r="E122" t="s">
        <v>323</v>
      </c>
      <c r="F122" t="s">
        <v>323</v>
      </c>
    </row>
    <row r="123" spans="1:6">
      <c r="B123" s="4">
        <v>45872</v>
      </c>
      <c r="C123">
        <v>-10.88</v>
      </c>
      <c r="D123" t="s">
        <v>324</v>
      </c>
      <c r="E123" t="s">
        <v>325</v>
      </c>
      <c r="F123" t="s">
        <v>326</v>
      </c>
    </row>
    <row r="124" spans="1:6">
      <c r="B124" s="4">
        <v>45872</v>
      </c>
      <c r="C124">
        <v>-6</v>
      </c>
      <c r="D124" t="s">
        <v>327</v>
      </c>
      <c r="E124" t="s">
        <v>328</v>
      </c>
      <c r="F124" t="s">
        <v>329</v>
      </c>
    </row>
    <row r="125" spans="1:6">
      <c r="A125">
        <f>SUM(C122:C125)</f>
        <v>-37.6</v>
      </c>
      <c r="B125" s="4">
        <v>45872</v>
      </c>
      <c r="C125">
        <v>-18.899999999999999</v>
      </c>
      <c r="D125" t="s">
        <v>331</v>
      </c>
      <c r="E125" t="s">
        <v>332</v>
      </c>
      <c r="F125" t="s">
        <v>333</v>
      </c>
    </row>
    <row r="126" spans="1:6">
      <c r="B126" s="4">
        <v>45873</v>
      </c>
      <c r="C126">
        <v>-3</v>
      </c>
      <c r="D126" t="s">
        <v>334</v>
      </c>
      <c r="E126" t="s">
        <v>335</v>
      </c>
      <c r="F126" t="s">
        <v>336</v>
      </c>
    </row>
    <row r="127" spans="1:6">
      <c r="B127" s="4">
        <v>45873</v>
      </c>
      <c r="C127">
        <v>-10</v>
      </c>
      <c r="D127" t="s">
        <v>334</v>
      </c>
      <c r="F127" t="s">
        <v>337</v>
      </c>
    </row>
    <row r="128" spans="1:6">
      <c r="B128" s="4">
        <v>45873</v>
      </c>
      <c r="C128">
        <v>-5.12</v>
      </c>
      <c r="D128" t="s">
        <v>338</v>
      </c>
      <c r="E128" t="s">
        <v>339</v>
      </c>
      <c r="F128" t="s">
        <v>340</v>
      </c>
    </row>
    <row r="129" spans="1:6">
      <c r="B129" s="4">
        <v>45873</v>
      </c>
      <c r="C129">
        <v>-16.48</v>
      </c>
      <c r="D129" t="s">
        <v>338</v>
      </c>
      <c r="E129" t="s">
        <v>341</v>
      </c>
      <c r="F129" t="s">
        <v>342</v>
      </c>
    </row>
    <row r="130" spans="1:6">
      <c r="B130" s="4">
        <v>45873</v>
      </c>
      <c r="C130">
        <v>-17.04</v>
      </c>
      <c r="D130" t="s">
        <v>338</v>
      </c>
      <c r="E130" t="s">
        <v>341</v>
      </c>
      <c r="F130" t="s">
        <v>342</v>
      </c>
    </row>
    <row r="131" spans="1:6">
      <c r="A131">
        <f>SUM(C126:C131)</f>
        <v>-62.94</v>
      </c>
      <c r="B131" s="4">
        <v>45873</v>
      </c>
      <c r="C131">
        <v>-11.3</v>
      </c>
      <c r="D131" t="s">
        <v>343</v>
      </c>
      <c r="E131" t="s">
        <v>344</v>
      </c>
      <c r="F131" t="s">
        <v>345</v>
      </c>
    </row>
    <row r="132" spans="1:6">
      <c r="B132" s="4">
        <v>45874</v>
      </c>
      <c r="C132">
        <v>-3.94</v>
      </c>
      <c r="D132" t="s">
        <v>346</v>
      </c>
      <c r="E132" t="s">
        <v>341</v>
      </c>
      <c r="F132" t="s">
        <v>347</v>
      </c>
    </row>
    <row r="133" spans="1:6">
      <c r="A133">
        <f>SUM(C132:C133)</f>
        <v>-15.729999999999999</v>
      </c>
      <c r="B133" s="4">
        <v>45874</v>
      </c>
      <c r="C133">
        <v>-11.79</v>
      </c>
      <c r="D133" t="s">
        <v>348</v>
      </c>
      <c r="E133" t="s">
        <v>125</v>
      </c>
      <c r="F133" t="s">
        <v>349</v>
      </c>
    </row>
    <row r="134" spans="1:6">
      <c r="B134" s="4">
        <v>45875</v>
      </c>
      <c r="C134">
        <v>-5</v>
      </c>
      <c r="D134" t="s">
        <v>334</v>
      </c>
      <c r="E134" t="s">
        <v>350</v>
      </c>
      <c r="F134" t="s">
        <v>351</v>
      </c>
    </row>
    <row r="135" spans="1:6">
      <c r="A135">
        <f>SUM(C134:C135)</f>
        <v>-17.8</v>
      </c>
      <c r="B135" s="4">
        <v>45875</v>
      </c>
      <c r="C135">
        <v>-12.8</v>
      </c>
      <c r="D135" t="s">
        <v>334</v>
      </c>
      <c r="E135" t="s">
        <v>352</v>
      </c>
      <c r="F135" t="s">
        <v>353</v>
      </c>
    </row>
    <row r="136" spans="1:6">
      <c r="B136" s="4">
        <v>45876</v>
      </c>
      <c r="C136">
        <v>-8</v>
      </c>
      <c r="D136" t="s">
        <v>363</v>
      </c>
      <c r="E136" t="s">
        <v>364</v>
      </c>
      <c r="F136" t="s">
        <v>365</v>
      </c>
    </row>
    <row r="137" spans="1:6">
      <c r="B137" s="4">
        <v>45876</v>
      </c>
      <c r="C137">
        <v>-4.6399999999999997</v>
      </c>
      <c r="D137" t="s">
        <v>363</v>
      </c>
      <c r="E137" t="s">
        <v>366</v>
      </c>
      <c r="F137" t="s">
        <v>367</v>
      </c>
    </row>
    <row r="138" spans="1:6">
      <c r="B138" s="4">
        <v>45876</v>
      </c>
      <c r="C138">
        <v>-5.81</v>
      </c>
      <c r="D138" t="s">
        <v>368</v>
      </c>
      <c r="F138" t="s">
        <v>369</v>
      </c>
    </row>
    <row r="139" spans="1:6">
      <c r="B139" s="4">
        <v>45876</v>
      </c>
      <c r="C139">
        <v>-4.59</v>
      </c>
      <c r="D139" t="s">
        <v>370</v>
      </c>
      <c r="E139" t="s">
        <v>371</v>
      </c>
      <c r="F139" t="s">
        <v>372</v>
      </c>
    </row>
    <row r="140" spans="1:6">
      <c r="A140">
        <f>SUM(C136:C140)</f>
        <v>-33.04</v>
      </c>
      <c r="B140" s="4">
        <v>45876</v>
      </c>
      <c r="C140">
        <v>-10</v>
      </c>
      <c r="D140" t="s">
        <v>370</v>
      </c>
      <c r="E140" t="s">
        <v>373</v>
      </c>
      <c r="F140" t="s">
        <v>374</v>
      </c>
    </row>
    <row r="141" spans="1:6">
      <c r="B141" s="4">
        <v>45877</v>
      </c>
      <c r="C141">
        <v>-4</v>
      </c>
      <c r="D141" t="s">
        <v>370</v>
      </c>
      <c r="E141" t="s">
        <v>364</v>
      </c>
      <c r="F141" t="s">
        <v>375</v>
      </c>
    </row>
    <row r="142" spans="1:6">
      <c r="B142" s="4">
        <v>45877</v>
      </c>
      <c r="C142">
        <v>-15</v>
      </c>
      <c r="D142" t="s">
        <v>370</v>
      </c>
      <c r="F142" t="s">
        <v>376</v>
      </c>
    </row>
    <row r="143" spans="1:6">
      <c r="A143">
        <f>SUM(C141:C143)</f>
        <v>-37.799999999999997</v>
      </c>
      <c r="B143" s="4">
        <v>45877</v>
      </c>
      <c r="C143">
        <v>-18.8</v>
      </c>
      <c r="D143" t="s">
        <v>377</v>
      </c>
      <c r="E143" t="s">
        <v>378</v>
      </c>
      <c r="F143" t="s">
        <v>379</v>
      </c>
    </row>
    <row r="144" spans="1:6">
      <c r="A144">
        <v>-10.88</v>
      </c>
      <c r="B144" s="4">
        <v>45878</v>
      </c>
      <c r="C144">
        <v>-10.88</v>
      </c>
      <c r="D144" t="s">
        <v>380</v>
      </c>
      <c r="E144" t="s">
        <v>381</v>
      </c>
      <c r="F144" t="s">
        <v>382</v>
      </c>
    </row>
    <row r="145" spans="1:6">
      <c r="B145" s="4">
        <v>45879</v>
      </c>
      <c r="C145">
        <v>-18.899999999999999</v>
      </c>
      <c r="D145" t="s">
        <v>383</v>
      </c>
      <c r="E145" t="s">
        <v>384</v>
      </c>
      <c r="F145" t="s">
        <v>386</v>
      </c>
    </row>
    <row r="146" spans="1:6">
      <c r="B146" s="4">
        <v>45879</v>
      </c>
      <c r="C146">
        <v>-9.9</v>
      </c>
      <c r="D146" t="s">
        <v>385</v>
      </c>
      <c r="E146" t="s">
        <v>384</v>
      </c>
      <c r="F146" t="s">
        <v>387</v>
      </c>
    </row>
    <row r="147" spans="1:6">
      <c r="B147" s="4">
        <v>45879</v>
      </c>
      <c r="C147">
        <v>-12.99</v>
      </c>
      <c r="D147" t="s">
        <v>388</v>
      </c>
      <c r="E147" t="s">
        <v>389</v>
      </c>
      <c r="F147" t="s">
        <v>390</v>
      </c>
    </row>
    <row r="148" spans="1:6">
      <c r="B148" s="4">
        <v>45879</v>
      </c>
      <c r="C148">
        <v>-16.7</v>
      </c>
      <c r="D148" t="s">
        <v>391</v>
      </c>
      <c r="E148" t="s">
        <v>392</v>
      </c>
      <c r="F148" t="s">
        <v>390</v>
      </c>
    </row>
    <row r="149" spans="1:6">
      <c r="A149">
        <f>SUM(C145:C149)</f>
        <v>-108.49</v>
      </c>
      <c r="B149" s="4">
        <v>45879</v>
      </c>
      <c r="C149">
        <v>-50</v>
      </c>
      <c r="D149" t="s">
        <v>380</v>
      </c>
      <c r="E149" t="s">
        <v>393</v>
      </c>
      <c r="F149" t="s">
        <v>394</v>
      </c>
    </row>
    <row r="150" spans="1:6">
      <c r="B150" s="4">
        <v>45880</v>
      </c>
      <c r="C150">
        <v>-2.5</v>
      </c>
      <c r="D150" t="s">
        <v>380</v>
      </c>
      <c r="E150" t="s">
        <v>395</v>
      </c>
      <c r="F150" t="s">
        <v>396</v>
      </c>
    </row>
    <row r="151" spans="1:6">
      <c r="A151">
        <f>SUM(C150:C151)</f>
        <v>-18.2</v>
      </c>
      <c r="B151" s="4">
        <v>45880</v>
      </c>
      <c r="C151">
        <v>-15.7</v>
      </c>
      <c r="D151" t="s">
        <v>391</v>
      </c>
      <c r="E151" t="s">
        <v>397</v>
      </c>
      <c r="F151" t="s">
        <v>398</v>
      </c>
    </row>
    <row r="152" spans="1:6">
      <c r="B152" s="4">
        <v>45881</v>
      </c>
      <c r="C152">
        <v>-3</v>
      </c>
      <c r="D152" t="s">
        <v>400</v>
      </c>
      <c r="E152" t="s">
        <v>401</v>
      </c>
      <c r="F152" t="s">
        <v>402</v>
      </c>
    </row>
    <row r="153" spans="1:6">
      <c r="A153">
        <f>SUM(C152:C153)</f>
        <v>-7.78</v>
      </c>
      <c r="B153" s="4">
        <v>45881</v>
      </c>
      <c r="C153">
        <v>-4.78</v>
      </c>
      <c r="D153" t="s">
        <v>404</v>
      </c>
      <c r="E153" t="s">
        <v>403</v>
      </c>
      <c r="F153" t="s">
        <v>405</v>
      </c>
    </row>
    <row r="154" spans="1:6">
      <c r="B154" s="4">
        <v>45882</v>
      </c>
      <c r="C154">
        <v>-13</v>
      </c>
      <c r="D154" t="s">
        <v>406</v>
      </c>
      <c r="E154" t="s">
        <v>407</v>
      </c>
      <c r="F154" t="s">
        <v>408</v>
      </c>
    </row>
    <row r="155" spans="1:6">
      <c r="B155" s="4">
        <v>45882</v>
      </c>
      <c r="C155">
        <v>-2</v>
      </c>
      <c r="D155" t="s">
        <v>404</v>
      </c>
      <c r="E155" t="s">
        <v>409</v>
      </c>
      <c r="F155" t="s">
        <v>410</v>
      </c>
    </row>
    <row r="156" spans="1:6">
      <c r="B156" s="4">
        <v>45882</v>
      </c>
      <c r="C156">
        <v>-37.5</v>
      </c>
      <c r="D156" t="s">
        <v>404</v>
      </c>
      <c r="F156" t="s">
        <v>411</v>
      </c>
    </row>
    <row r="157" spans="1:6">
      <c r="A157">
        <f>SUM(C154:C157)</f>
        <v>-70.2</v>
      </c>
      <c r="B157" s="4">
        <v>45882</v>
      </c>
      <c r="C157">
        <v>-17.7</v>
      </c>
      <c r="D157" t="s">
        <v>406</v>
      </c>
      <c r="E157" t="s">
        <v>412</v>
      </c>
      <c r="F157" t="s">
        <v>413</v>
      </c>
    </row>
    <row r="158" spans="1:6">
      <c r="B158" s="4">
        <v>45883</v>
      </c>
      <c r="C158">
        <v>-3</v>
      </c>
      <c r="D158" t="s">
        <v>414</v>
      </c>
      <c r="E158" t="s">
        <v>401</v>
      </c>
      <c r="F158" t="s">
        <v>415</v>
      </c>
    </row>
    <row r="159" spans="1:6">
      <c r="B159" s="4">
        <v>45883</v>
      </c>
      <c r="C159">
        <v>-9.5</v>
      </c>
      <c r="D159" t="s">
        <v>416</v>
      </c>
      <c r="E159" t="s">
        <v>417</v>
      </c>
      <c r="F159" t="s">
        <v>418</v>
      </c>
    </row>
    <row r="160" spans="1:6">
      <c r="A160">
        <f>SUM(C158:C160)</f>
        <v>-27.66</v>
      </c>
      <c r="B160" s="4">
        <v>45883</v>
      </c>
      <c r="C160">
        <v>-15.16</v>
      </c>
      <c r="D160" t="s">
        <v>424</v>
      </c>
      <c r="E160" t="s">
        <v>425</v>
      </c>
      <c r="F160" t="s">
        <v>426</v>
      </c>
    </row>
    <row r="161" spans="1:6">
      <c r="B161" s="4">
        <v>45884</v>
      </c>
      <c r="C161">
        <v>-3</v>
      </c>
      <c r="D161" t="s">
        <v>406</v>
      </c>
      <c r="E161" t="s">
        <v>401</v>
      </c>
      <c r="F161" t="s">
        <v>415</v>
      </c>
    </row>
    <row r="162" spans="1:6">
      <c r="B162" s="4">
        <v>45884</v>
      </c>
      <c r="C162">
        <v>-13</v>
      </c>
      <c r="D162" t="s">
        <v>419</v>
      </c>
      <c r="E162" t="s">
        <v>420</v>
      </c>
      <c r="F162" t="s">
        <v>421</v>
      </c>
    </row>
    <row r="163" spans="1:6">
      <c r="B163" s="4">
        <v>45884</v>
      </c>
      <c r="C163">
        <v>-100</v>
      </c>
      <c r="D163" t="s">
        <v>422</v>
      </c>
      <c r="E163" s="3" t="s">
        <v>143</v>
      </c>
      <c r="F163" t="s">
        <v>423</v>
      </c>
    </row>
    <row r="164" spans="1:6">
      <c r="B164" s="4">
        <v>45884</v>
      </c>
      <c r="C164">
        <v>-2.75</v>
      </c>
      <c r="D164" t="s">
        <v>427</v>
      </c>
      <c r="E164" s="3" t="s">
        <v>126</v>
      </c>
      <c r="F164" t="s">
        <v>428</v>
      </c>
    </row>
    <row r="165" spans="1:6">
      <c r="A165">
        <f>SUM(C161:C165)</f>
        <v>-119.55</v>
      </c>
      <c r="B165" s="4">
        <v>45884</v>
      </c>
      <c r="C165">
        <v>-0.8</v>
      </c>
      <c r="D165" t="s">
        <v>424</v>
      </c>
      <c r="F165" t="s">
        <v>429</v>
      </c>
    </row>
    <row r="166" spans="1:6">
      <c r="B166" s="4">
        <v>45885</v>
      </c>
      <c r="C166">
        <v>-15.9</v>
      </c>
      <c r="D166" t="s">
        <v>430</v>
      </c>
      <c r="E166" t="s">
        <v>431</v>
      </c>
      <c r="F166" t="s">
        <v>432</v>
      </c>
    </row>
    <row r="167" spans="1:6">
      <c r="B167" s="4">
        <v>45885</v>
      </c>
      <c r="C167">
        <v>-12.69</v>
      </c>
      <c r="D167" t="s">
        <v>1</v>
      </c>
      <c r="F167" t="s">
        <v>457</v>
      </c>
    </row>
    <row r="168" spans="1:6">
      <c r="B168" s="4">
        <v>45885</v>
      </c>
      <c r="C168">
        <v>-3.65</v>
      </c>
      <c r="D168" t="s">
        <v>437</v>
      </c>
      <c r="E168" t="s">
        <v>409</v>
      </c>
      <c r="F168" t="s">
        <v>438</v>
      </c>
    </row>
    <row r="169" spans="1:6">
      <c r="A169">
        <f>SUM(C166:C169)</f>
        <v>-39.24</v>
      </c>
      <c r="B169" s="4">
        <v>45885</v>
      </c>
      <c r="C169">
        <v>-7</v>
      </c>
      <c r="D169" t="s">
        <v>433</v>
      </c>
      <c r="E169" t="s">
        <v>409</v>
      </c>
      <c r="F169" t="s">
        <v>434</v>
      </c>
    </row>
    <row r="170" spans="1:6">
      <c r="A170">
        <f>SUM(C170)</f>
        <v>-13.4</v>
      </c>
      <c r="B170" s="4">
        <v>45886</v>
      </c>
      <c r="C170">
        <v>-13.4</v>
      </c>
      <c r="D170" t="s">
        <v>435</v>
      </c>
      <c r="F170" t="s">
        <v>436</v>
      </c>
    </row>
    <row r="171" spans="1:6">
      <c r="B171" s="4">
        <v>45887</v>
      </c>
      <c r="C171">
        <v>-4</v>
      </c>
      <c r="D171" t="s">
        <v>437</v>
      </c>
      <c r="E171" t="s">
        <v>439</v>
      </c>
      <c r="F171" t="s">
        <v>440</v>
      </c>
    </row>
    <row r="172" spans="1:6">
      <c r="A172">
        <f>SUM(C171:C172)</f>
        <v>-21.7</v>
      </c>
      <c r="B172" s="4">
        <v>45887</v>
      </c>
      <c r="C172">
        <v>-17.7</v>
      </c>
      <c r="D172" t="s">
        <v>430</v>
      </c>
      <c r="E172" t="s">
        <v>441</v>
      </c>
      <c r="F172" t="s">
        <v>442</v>
      </c>
    </row>
    <row r="173" spans="1:6">
      <c r="B173" s="4">
        <v>45888</v>
      </c>
      <c r="C173">
        <v>-5.5</v>
      </c>
      <c r="D173" t="s">
        <v>443</v>
      </c>
      <c r="E173" t="s">
        <v>444</v>
      </c>
      <c r="F173" t="s">
        <v>445</v>
      </c>
    </row>
    <row r="174" spans="1:6">
      <c r="A174">
        <f>SUM(C173:C174)</f>
        <v>-14.2</v>
      </c>
      <c r="B174" s="4">
        <v>45888</v>
      </c>
      <c r="C174">
        <v>-8.6999999999999993</v>
      </c>
      <c r="D174" t="s">
        <v>446</v>
      </c>
      <c r="E174" t="s">
        <v>447</v>
      </c>
      <c r="F174" t="s">
        <v>448</v>
      </c>
    </row>
    <row r="175" spans="1:6">
      <c r="B175" s="4">
        <v>45889</v>
      </c>
      <c r="C175">
        <v>-3</v>
      </c>
      <c r="D175" t="s">
        <v>449</v>
      </c>
      <c r="E175" t="s">
        <v>444</v>
      </c>
      <c r="F175" t="s">
        <v>450</v>
      </c>
    </row>
    <row r="176" spans="1:6">
      <c r="B176" s="4">
        <v>45889</v>
      </c>
      <c r="C176">
        <v>-26.41</v>
      </c>
      <c r="D176" t="s">
        <v>449</v>
      </c>
      <c r="E176" t="s">
        <v>321</v>
      </c>
      <c r="F176" t="s">
        <v>451</v>
      </c>
    </row>
    <row r="177" spans="1:6">
      <c r="A177">
        <f>SUM(C175:C177)</f>
        <v>-45.01</v>
      </c>
      <c r="B177" s="4">
        <v>45889</v>
      </c>
      <c r="C177">
        <v>-15.6</v>
      </c>
      <c r="D177" t="s">
        <v>452</v>
      </c>
      <c r="E177" t="s">
        <v>453</v>
      </c>
      <c r="F177" t="s">
        <v>454</v>
      </c>
    </row>
    <row r="178" spans="1:6">
      <c r="A178">
        <f>SUM(C178)</f>
        <v>-9</v>
      </c>
      <c r="B178" s="4">
        <v>45890</v>
      </c>
      <c r="C178">
        <v>-9</v>
      </c>
      <c r="D178" t="s">
        <v>1</v>
      </c>
      <c r="E178" t="s">
        <v>455</v>
      </c>
      <c r="F178" t="s">
        <v>456</v>
      </c>
    </row>
    <row r="179" spans="1:6">
      <c r="A179">
        <f>SUM(C179)</f>
        <v>-10</v>
      </c>
      <c r="B179" s="4">
        <v>45891</v>
      </c>
      <c r="C179">
        <v>-10</v>
      </c>
      <c r="D179" t="s">
        <v>0</v>
      </c>
      <c r="E179" t="s">
        <v>455</v>
      </c>
      <c r="F179" t="s">
        <v>458</v>
      </c>
    </row>
    <row r="180" spans="1:6">
      <c r="B180" s="4">
        <v>45892</v>
      </c>
      <c r="C180">
        <v>-10.38</v>
      </c>
      <c r="D180" t="s">
        <v>0</v>
      </c>
      <c r="E180" t="s">
        <v>460</v>
      </c>
      <c r="F180" t="s">
        <v>461</v>
      </c>
    </row>
    <row r="181" spans="1:6">
      <c r="B181" s="4">
        <v>45892</v>
      </c>
      <c r="C181">
        <v>-10</v>
      </c>
      <c r="D181" t="s">
        <v>0</v>
      </c>
      <c r="E181" t="s">
        <v>462</v>
      </c>
      <c r="F181" t="s">
        <v>463</v>
      </c>
    </row>
    <row r="182" spans="1:6">
      <c r="B182" s="4">
        <v>45892</v>
      </c>
      <c r="C182">
        <v>-26.44</v>
      </c>
      <c r="D182" t="s">
        <v>0</v>
      </c>
      <c r="E182" t="s">
        <v>202</v>
      </c>
      <c r="F182" t="s">
        <v>464</v>
      </c>
    </row>
    <row r="183" spans="1:6">
      <c r="A183">
        <f>SUM(C180:C183)</f>
        <v>-63.7</v>
      </c>
      <c r="B183" s="4">
        <v>45892</v>
      </c>
      <c r="C183">
        <v>-16.88</v>
      </c>
      <c r="D183" t="s">
        <v>1</v>
      </c>
      <c r="E183" t="s">
        <v>467</v>
      </c>
      <c r="F183" t="s">
        <v>470</v>
      </c>
    </row>
    <row r="184" spans="1:6">
      <c r="B184" s="4">
        <v>45893</v>
      </c>
      <c r="C184">
        <v>-15.98</v>
      </c>
      <c r="D184" t="s">
        <v>0</v>
      </c>
      <c r="E184" t="s">
        <v>465</v>
      </c>
      <c r="F184" t="s">
        <v>461</v>
      </c>
    </row>
    <row r="185" spans="1:6">
      <c r="B185" s="4">
        <v>45893</v>
      </c>
      <c r="C185">
        <v>-10.38</v>
      </c>
      <c r="D185" t="s">
        <v>0</v>
      </c>
      <c r="E185" t="s">
        <v>467</v>
      </c>
      <c r="F185" t="s">
        <v>461</v>
      </c>
    </row>
    <row r="186" spans="1:6">
      <c r="B186" s="4">
        <v>45893</v>
      </c>
      <c r="C186">
        <v>-29.7</v>
      </c>
      <c r="D186" t="s">
        <v>0</v>
      </c>
      <c r="F186" t="s">
        <v>468</v>
      </c>
    </row>
    <row r="187" spans="1:6">
      <c r="B187" s="4">
        <v>45893</v>
      </c>
      <c r="C187">
        <v>-11.8</v>
      </c>
      <c r="D187" t="s">
        <v>0</v>
      </c>
      <c r="F187" t="s">
        <v>469</v>
      </c>
    </row>
    <row r="188" spans="1:6">
      <c r="A188">
        <f>SUM(C184:C188)</f>
        <v>-70.86</v>
      </c>
      <c r="B188" s="4">
        <v>45893</v>
      </c>
      <c r="C188">
        <v>-3</v>
      </c>
      <c r="D188" t="s">
        <v>1</v>
      </c>
      <c r="E188" t="s">
        <v>471</v>
      </c>
      <c r="F188" t="s">
        <v>472</v>
      </c>
    </row>
    <row r="189" spans="1:6">
      <c r="B189" s="4">
        <v>45894</v>
      </c>
      <c r="C189">
        <v>-4.5</v>
      </c>
      <c r="D189" t="s">
        <v>0</v>
      </c>
      <c r="E189" t="s">
        <v>473</v>
      </c>
      <c r="F189" t="s">
        <v>474</v>
      </c>
    </row>
    <row r="190" spans="1:6">
      <c r="A190">
        <f>SUM(C189:C190)</f>
        <v>-34.58</v>
      </c>
      <c r="B190" s="4">
        <v>45894</v>
      </c>
      <c r="C190">
        <v>-30.08</v>
      </c>
      <c r="D190" t="s">
        <v>1</v>
      </c>
      <c r="E190" t="s">
        <v>477</v>
      </c>
      <c r="F190" t="s">
        <v>479</v>
      </c>
    </row>
    <row r="191" spans="1:6">
      <c r="B191" s="4">
        <v>45895</v>
      </c>
      <c r="C191">
        <v>-29</v>
      </c>
      <c r="D191" t="s">
        <v>1</v>
      </c>
      <c r="E191" t="s">
        <v>480</v>
      </c>
      <c r="F191" t="s">
        <v>482</v>
      </c>
    </row>
    <row r="192" spans="1:6">
      <c r="A192">
        <f>SUM(C191:C192)</f>
        <v>-56.22</v>
      </c>
      <c r="B192" s="4">
        <v>45895</v>
      </c>
      <c r="C192">
        <v>-27.22</v>
      </c>
      <c r="D192" t="s">
        <v>1</v>
      </c>
      <c r="E192" t="s">
        <v>477</v>
      </c>
      <c r="F192" t="s">
        <v>479</v>
      </c>
    </row>
    <row r="193" spans="1:6">
      <c r="B193" s="4">
        <v>45896</v>
      </c>
      <c r="C193">
        <v>-28</v>
      </c>
      <c r="D193" t="s">
        <v>476</v>
      </c>
      <c r="E193" t="s">
        <v>480</v>
      </c>
      <c r="F193" t="s">
        <v>482</v>
      </c>
    </row>
    <row r="194" spans="1:6">
      <c r="A194">
        <f>SUM(C193:C194)</f>
        <v>-55.120000000000005</v>
      </c>
      <c r="B194" s="4">
        <v>45896</v>
      </c>
      <c r="C194">
        <v>-27.12</v>
      </c>
      <c r="D194" t="s">
        <v>1</v>
      </c>
      <c r="E194" t="s">
        <v>477</v>
      </c>
      <c r="F194" s="16" t="s">
        <v>478</v>
      </c>
    </row>
    <row r="195" spans="1:6">
      <c r="B195" s="4">
        <v>45897</v>
      </c>
      <c r="C195">
        <v>-59.9</v>
      </c>
      <c r="D195" t="s">
        <v>0</v>
      </c>
      <c r="E195" s="16" t="s">
        <v>459</v>
      </c>
      <c r="F195" s="16" t="s">
        <v>481</v>
      </c>
    </row>
    <row r="196" spans="1:6">
      <c r="A196">
        <f>SUM(C195:C196)</f>
        <v>-88.02</v>
      </c>
      <c r="B196" s="4">
        <v>45897</v>
      </c>
      <c r="C196">
        <v>-28.12</v>
      </c>
      <c r="D196" t="s">
        <v>1</v>
      </c>
      <c r="E196" s="16" t="s">
        <v>466</v>
      </c>
      <c r="F196" s="16" t="s">
        <v>478</v>
      </c>
    </row>
    <row r="197" spans="1:6">
      <c r="B197" s="4">
        <v>45898</v>
      </c>
      <c r="C197">
        <v>-35</v>
      </c>
      <c r="D197" t="s">
        <v>0</v>
      </c>
      <c r="E197" s="16" t="s">
        <v>466</v>
      </c>
      <c r="F197" s="16" t="s">
        <v>478</v>
      </c>
    </row>
    <row r="198" spans="1:6">
      <c r="B198" s="4">
        <v>45898</v>
      </c>
      <c r="C198">
        <v>-23.7</v>
      </c>
      <c r="D198" t="s">
        <v>1</v>
      </c>
      <c r="E198" t="s">
        <v>483</v>
      </c>
      <c r="F198" t="s">
        <v>484</v>
      </c>
    </row>
    <row r="199" spans="1:6">
      <c r="A199">
        <f>SUM(C197:C199)</f>
        <v>-101.7</v>
      </c>
      <c r="B199" s="4">
        <v>45898</v>
      </c>
      <c r="C199">
        <v>-43</v>
      </c>
      <c r="D199" t="s">
        <v>0</v>
      </c>
      <c r="F199" t="s">
        <v>485</v>
      </c>
    </row>
    <row r="200" spans="1:6">
      <c r="B200" s="4">
        <v>45899</v>
      </c>
      <c r="C200">
        <v>-30</v>
      </c>
      <c r="D200" t="s">
        <v>1</v>
      </c>
      <c r="E200" s="16" t="s">
        <v>459</v>
      </c>
      <c r="F200" s="16" t="s">
        <v>481</v>
      </c>
    </row>
    <row r="201" spans="1:6">
      <c r="A201">
        <f>SUM(C200:C201)</f>
        <v>-56.86</v>
      </c>
      <c r="B201" s="4">
        <v>45899</v>
      </c>
      <c r="C201">
        <v>-26.86</v>
      </c>
      <c r="D201" t="s">
        <v>1</v>
      </c>
      <c r="E201" s="16" t="s">
        <v>466</v>
      </c>
      <c r="F201" s="16" t="s">
        <v>478</v>
      </c>
    </row>
    <row r="202" spans="1:6">
      <c r="B202" s="4">
        <v>45900</v>
      </c>
      <c r="C202">
        <v>-9.3800000000000008</v>
      </c>
      <c r="D202" t="s">
        <v>0</v>
      </c>
      <c r="E202" s="16" t="s">
        <v>459</v>
      </c>
      <c r="F202" t="s">
        <v>486</v>
      </c>
    </row>
    <row r="203" spans="1:6">
      <c r="B203" s="4">
        <v>45900</v>
      </c>
      <c r="C203">
        <v>-7.92</v>
      </c>
      <c r="D203" t="s">
        <v>0</v>
      </c>
      <c r="F203" t="s">
        <v>487</v>
      </c>
    </row>
    <row r="204" spans="1:6">
      <c r="B204" s="4">
        <v>45900</v>
      </c>
      <c r="C204">
        <v>-29.67</v>
      </c>
      <c r="D204" t="s">
        <v>0</v>
      </c>
      <c r="F204" t="s">
        <v>488</v>
      </c>
    </row>
    <row r="205" spans="1:6">
      <c r="A205" s="17">
        <f>SUM(C202:C205)</f>
        <v>-114.4</v>
      </c>
      <c r="B205" s="18">
        <v>45900</v>
      </c>
      <c r="C205" s="17">
        <v>-67.430000000000007</v>
      </c>
      <c r="D205" s="17" t="s">
        <v>0</v>
      </c>
      <c r="E205" s="17" t="s">
        <v>489</v>
      </c>
      <c r="F205" s="17" t="s">
        <v>490</v>
      </c>
    </row>
    <row r="206" spans="1:6">
      <c r="B206" s="4">
        <v>45901</v>
      </c>
      <c r="C206">
        <v>-438.7</v>
      </c>
      <c r="D206" t="s">
        <v>0</v>
      </c>
      <c r="E206" t="s">
        <v>648</v>
      </c>
      <c r="F206" s="3" t="s">
        <v>646</v>
      </c>
    </row>
    <row r="207" spans="1:6">
      <c r="B207" s="4">
        <v>45901</v>
      </c>
      <c r="C207">
        <v>-14.9</v>
      </c>
      <c r="D207" t="s">
        <v>508</v>
      </c>
      <c r="E207" t="s">
        <v>512</v>
      </c>
      <c r="F207" s="3" t="s">
        <v>511</v>
      </c>
    </row>
    <row r="208" spans="1:6">
      <c r="B208" s="4">
        <v>45901</v>
      </c>
      <c r="C208">
        <v>-3</v>
      </c>
      <c r="D208" t="s">
        <v>0</v>
      </c>
      <c r="E208" t="s">
        <v>491</v>
      </c>
      <c r="F208" s="3" t="s">
        <v>492</v>
      </c>
    </row>
    <row r="209" spans="1:6">
      <c r="A209">
        <f>SUM(C206:C209)</f>
        <v>-474.40999999999997</v>
      </c>
      <c r="B209" s="4">
        <v>45901</v>
      </c>
      <c r="C209">
        <v>-17.809999999999999</v>
      </c>
      <c r="D209" t="s">
        <v>0</v>
      </c>
      <c r="E209" t="s">
        <v>493</v>
      </c>
      <c r="F209" s="3" t="s">
        <v>494</v>
      </c>
    </row>
    <row r="210" spans="1:6">
      <c r="B210" s="4">
        <v>45902</v>
      </c>
      <c r="C210">
        <v>-5</v>
      </c>
      <c r="D210" t="s">
        <v>0</v>
      </c>
      <c r="E210" t="s">
        <v>495</v>
      </c>
      <c r="F210" s="3" t="s">
        <v>496</v>
      </c>
    </row>
    <row r="211" spans="1:6">
      <c r="A211">
        <f>SUM(C210:C211)</f>
        <v>-5.2</v>
      </c>
      <c r="B211" s="4">
        <v>45902</v>
      </c>
      <c r="C211">
        <v>-0.2</v>
      </c>
      <c r="D211" t="s">
        <v>0</v>
      </c>
      <c r="F211" s="3" t="s">
        <v>497</v>
      </c>
    </row>
    <row r="212" spans="1:6">
      <c r="B212" s="4">
        <v>45903</v>
      </c>
      <c r="C212">
        <v>-1.5</v>
      </c>
      <c r="D212" t="s">
        <v>0</v>
      </c>
      <c r="E212" t="s">
        <v>498</v>
      </c>
      <c r="F212" s="3" t="s">
        <v>496</v>
      </c>
    </row>
    <row r="213" spans="1:6">
      <c r="B213" s="4">
        <v>45903</v>
      </c>
      <c r="C213">
        <v>-13.98</v>
      </c>
      <c r="D213" t="s">
        <v>0</v>
      </c>
      <c r="E213" t="s">
        <v>499</v>
      </c>
      <c r="F213" s="3" t="s">
        <v>500</v>
      </c>
    </row>
    <row r="214" spans="1:6">
      <c r="A214">
        <f>SUM(C212:C214)</f>
        <v>-62.78</v>
      </c>
      <c r="B214" s="4">
        <v>45903</v>
      </c>
      <c r="C214">
        <v>-47.3</v>
      </c>
      <c r="D214" t="s">
        <v>501</v>
      </c>
      <c r="F214" s="3" t="s">
        <v>502</v>
      </c>
    </row>
    <row r="215" spans="1:6">
      <c r="B215" s="4">
        <v>45904</v>
      </c>
      <c r="C215">
        <v>-1.5</v>
      </c>
      <c r="D215" t="s">
        <v>0</v>
      </c>
      <c r="E215" t="s">
        <v>503</v>
      </c>
      <c r="F215" s="3" t="s">
        <v>504</v>
      </c>
    </row>
    <row r="216" spans="1:6">
      <c r="B216" s="4">
        <v>45904</v>
      </c>
      <c r="C216">
        <v>-78.56</v>
      </c>
      <c r="D216" t="s">
        <v>0</v>
      </c>
      <c r="F216" s="3" t="s">
        <v>505</v>
      </c>
    </row>
    <row r="217" spans="1:6">
      <c r="B217" s="4">
        <v>45904</v>
      </c>
      <c r="C217">
        <v>-7.59</v>
      </c>
      <c r="D217" t="s">
        <v>508</v>
      </c>
      <c r="F217" s="3" t="s">
        <v>509</v>
      </c>
    </row>
    <row r="218" spans="1:6">
      <c r="A218">
        <f>SUM(C215:C218)</f>
        <v>-88.15</v>
      </c>
      <c r="B218" s="4">
        <v>45904</v>
      </c>
      <c r="C218">
        <v>-0.5</v>
      </c>
      <c r="D218" t="s">
        <v>0</v>
      </c>
      <c r="E218" t="s">
        <v>506</v>
      </c>
      <c r="F218" s="3" t="s">
        <v>519</v>
      </c>
    </row>
    <row r="219" spans="1:6">
      <c r="B219" s="4">
        <v>45905</v>
      </c>
      <c r="C219">
        <v>-1.5</v>
      </c>
      <c r="D219" t="s">
        <v>0</v>
      </c>
      <c r="E219" t="s">
        <v>503</v>
      </c>
      <c r="F219" s="3" t="s">
        <v>504</v>
      </c>
    </row>
    <row r="220" spans="1:6">
      <c r="A220">
        <f>SUM(C219:C220)</f>
        <v>-21.4</v>
      </c>
      <c r="B220" s="4">
        <v>45905</v>
      </c>
      <c r="C220">
        <v>-19.899999999999999</v>
      </c>
      <c r="D220" t="s">
        <v>0</v>
      </c>
      <c r="E220" t="s">
        <v>507</v>
      </c>
      <c r="F220" s="3" t="s">
        <v>291</v>
      </c>
    </row>
    <row r="221" spans="1:6">
      <c r="B221" s="4">
        <v>45906</v>
      </c>
      <c r="C221">
        <v>-6.88</v>
      </c>
      <c r="D221" t="s">
        <v>508</v>
      </c>
      <c r="E221" t="s">
        <v>507</v>
      </c>
      <c r="F221" s="3" t="s">
        <v>511</v>
      </c>
    </row>
    <row r="222" spans="1:6">
      <c r="B222" s="4">
        <v>45906</v>
      </c>
      <c r="C222">
        <v>-6.9</v>
      </c>
      <c r="D222" t="s">
        <v>0</v>
      </c>
      <c r="E222" t="s">
        <v>513</v>
      </c>
      <c r="F222" s="3" t="s">
        <v>291</v>
      </c>
    </row>
    <row r="223" spans="1:6">
      <c r="B223" s="4">
        <v>45906</v>
      </c>
      <c r="C223">
        <v>-2.5</v>
      </c>
      <c r="D223" t="s">
        <v>0</v>
      </c>
      <c r="E223" t="s">
        <v>515</v>
      </c>
      <c r="F223" s="3" t="s">
        <v>514</v>
      </c>
    </row>
    <row r="224" spans="1:6">
      <c r="A224">
        <f>SUM(C221:C224)</f>
        <v>-116.28</v>
      </c>
      <c r="B224" s="4">
        <v>45906</v>
      </c>
      <c r="C224">
        <v>-100</v>
      </c>
      <c r="D224" t="s">
        <v>1</v>
      </c>
      <c r="E224" s="3" t="s">
        <v>143</v>
      </c>
      <c r="F224" t="s">
        <v>423</v>
      </c>
    </row>
    <row r="225" spans="1:6">
      <c r="B225" s="4">
        <v>45907</v>
      </c>
      <c r="C225">
        <v>-42.75</v>
      </c>
      <c r="D225" t="s">
        <v>0</v>
      </c>
      <c r="F225" t="s">
        <v>516</v>
      </c>
    </row>
    <row r="226" spans="1:6">
      <c r="B226" s="4">
        <v>45907</v>
      </c>
      <c r="C226">
        <v>-23.5</v>
      </c>
      <c r="D226" t="s">
        <v>0</v>
      </c>
      <c r="F226" t="s">
        <v>516</v>
      </c>
    </row>
    <row r="227" spans="1:6">
      <c r="B227" s="4">
        <v>45907</v>
      </c>
      <c r="C227">
        <v>-6.9</v>
      </c>
      <c r="D227" t="s">
        <v>0</v>
      </c>
      <c r="E227" t="s">
        <v>517</v>
      </c>
      <c r="F227" s="3" t="s">
        <v>291</v>
      </c>
    </row>
    <row r="228" spans="1:6">
      <c r="B228" s="4">
        <v>45907</v>
      </c>
      <c r="C228">
        <v>-4</v>
      </c>
      <c r="D228" t="s">
        <v>0</v>
      </c>
      <c r="E228" t="s">
        <v>515</v>
      </c>
      <c r="F228" s="3" t="s">
        <v>518</v>
      </c>
    </row>
    <row r="229" spans="1:6">
      <c r="B229" s="4">
        <v>45907</v>
      </c>
      <c r="C229">
        <v>-38.5</v>
      </c>
      <c r="D229" t="s">
        <v>0</v>
      </c>
      <c r="E229" t="s">
        <v>520</v>
      </c>
      <c r="F229" s="3" t="s">
        <v>521</v>
      </c>
    </row>
    <row r="230" spans="1:6">
      <c r="A230">
        <f>SUM(C225:C230)</f>
        <v>-145.46</v>
      </c>
      <c r="B230" s="4">
        <v>45907</v>
      </c>
      <c r="C230">
        <v>-29.81</v>
      </c>
      <c r="D230" t="s">
        <v>1</v>
      </c>
      <c r="F230" s="3" t="s">
        <v>522</v>
      </c>
    </row>
    <row r="231" spans="1:6">
      <c r="B231" s="4">
        <v>45908</v>
      </c>
      <c r="C231">
        <v>-1.5</v>
      </c>
      <c r="D231" t="s">
        <v>0</v>
      </c>
      <c r="E231" t="s">
        <v>523</v>
      </c>
      <c r="F231" s="3" t="s">
        <v>524</v>
      </c>
    </row>
    <row r="232" spans="1:6">
      <c r="B232" s="4">
        <v>45908</v>
      </c>
      <c r="C232">
        <v>-10</v>
      </c>
      <c r="D232" t="s">
        <v>0</v>
      </c>
      <c r="E232" t="s">
        <v>525</v>
      </c>
      <c r="F232" s="3" t="s">
        <v>526</v>
      </c>
    </row>
    <row r="233" spans="1:6">
      <c r="B233" s="4">
        <v>45908</v>
      </c>
      <c r="C233">
        <v>-10.9</v>
      </c>
      <c r="D233" t="s">
        <v>0</v>
      </c>
      <c r="E233" t="s">
        <v>527</v>
      </c>
      <c r="F233" s="3" t="s">
        <v>291</v>
      </c>
    </row>
    <row r="234" spans="1:6">
      <c r="B234" s="4">
        <v>45908</v>
      </c>
      <c r="C234">
        <v>-16.899999999999999</v>
      </c>
      <c r="D234" t="s">
        <v>508</v>
      </c>
      <c r="F234" s="3" t="s">
        <v>528</v>
      </c>
    </row>
    <row r="235" spans="1:6">
      <c r="A235">
        <f>SUM(C231:C235)</f>
        <v>-60.8</v>
      </c>
      <c r="B235" s="4">
        <v>45908</v>
      </c>
      <c r="C235">
        <v>-21.5</v>
      </c>
      <c r="D235" t="s">
        <v>0</v>
      </c>
      <c r="F235" s="3" t="s">
        <v>529</v>
      </c>
    </row>
    <row r="236" spans="1:6">
      <c r="B236" s="4">
        <v>45909</v>
      </c>
      <c r="C236">
        <v>-1.5</v>
      </c>
      <c r="D236" t="s">
        <v>0</v>
      </c>
      <c r="F236" s="3" t="s">
        <v>530</v>
      </c>
    </row>
    <row r="237" spans="1:6">
      <c r="B237" s="4">
        <v>45909</v>
      </c>
      <c r="C237">
        <v>-3</v>
      </c>
      <c r="D237" t="s">
        <v>0</v>
      </c>
      <c r="E237" t="s">
        <v>532</v>
      </c>
      <c r="F237" s="3" t="s">
        <v>531</v>
      </c>
    </row>
    <row r="238" spans="1:6">
      <c r="B238" s="4">
        <v>45909</v>
      </c>
      <c r="C238">
        <v>-14.9</v>
      </c>
      <c r="D238" t="s">
        <v>0</v>
      </c>
      <c r="F238" s="3" t="s">
        <v>533</v>
      </c>
    </row>
    <row r="239" spans="1:6">
      <c r="A239">
        <f>SUM(C236:C239)</f>
        <v>-35.299999999999997</v>
      </c>
      <c r="B239" s="4">
        <v>45909</v>
      </c>
      <c r="C239">
        <v>-15.9</v>
      </c>
      <c r="D239" t="s">
        <v>0</v>
      </c>
      <c r="E239" t="s">
        <v>534</v>
      </c>
      <c r="F239" s="3" t="s">
        <v>535</v>
      </c>
    </row>
    <row r="240" spans="1:6">
      <c r="B240" s="4">
        <v>45910</v>
      </c>
      <c r="C240">
        <v>-3</v>
      </c>
      <c r="D240" t="s">
        <v>0</v>
      </c>
      <c r="E240" t="s">
        <v>537</v>
      </c>
      <c r="F240" s="3" t="s">
        <v>197</v>
      </c>
    </row>
    <row r="241" spans="1:6">
      <c r="B241" s="4">
        <v>45910</v>
      </c>
      <c r="C241">
        <v>-4.1500000000000004</v>
      </c>
      <c r="D241" t="s">
        <v>1</v>
      </c>
      <c r="F241" s="3" t="s">
        <v>542</v>
      </c>
    </row>
    <row r="242" spans="1:6">
      <c r="B242" s="4">
        <v>45910</v>
      </c>
      <c r="C242">
        <v>-7.31</v>
      </c>
      <c r="D242" t="s">
        <v>1</v>
      </c>
      <c r="F242" s="3" t="s">
        <v>543</v>
      </c>
    </row>
    <row r="243" spans="1:6">
      <c r="A243">
        <f>SUM(C240:C243)</f>
        <v>-22.86</v>
      </c>
      <c r="B243" s="4">
        <v>45910</v>
      </c>
      <c r="C243">
        <v>-8.4</v>
      </c>
      <c r="D243" t="s">
        <v>0</v>
      </c>
      <c r="E243" t="s">
        <v>538</v>
      </c>
      <c r="F243" s="3" t="s">
        <v>205</v>
      </c>
    </row>
    <row r="244" spans="1:6">
      <c r="B244" s="4">
        <v>45911</v>
      </c>
      <c r="C244">
        <v>-3</v>
      </c>
      <c r="D244" t="s">
        <v>0</v>
      </c>
      <c r="E244" t="s">
        <v>539</v>
      </c>
      <c r="F244" s="3" t="s">
        <v>197</v>
      </c>
    </row>
    <row r="245" spans="1:6">
      <c r="B245" s="4">
        <v>45911</v>
      </c>
      <c r="C245">
        <v>-117</v>
      </c>
      <c r="D245" t="s">
        <v>0</v>
      </c>
      <c r="F245" s="3" t="s">
        <v>540</v>
      </c>
    </row>
    <row r="246" spans="1:6">
      <c r="A246">
        <f>SUM(C244:C246)</f>
        <v>-131.80000000000001</v>
      </c>
      <c r="B246" s="4">
        <v>45911</v>
      </c>
      <c r="C246">
        <v>-11.8</v>
      </c>
      <c r="D246" t="s">
        <v>0</v>
      </c>
      <c r="E246" t="s">
        <v>541</v>
      </c>
      <c r="F246" s="3" t="s">
        <v>205</v>
      </c>
    </row>
    <row r="247" spans="1:6">
      <c r="B247" s="4">
        <v>45912</v>
      </c>
      <c r="C247">
        <v>-1</v>
      </c>
      <c r="D247" t="s">
        <v>1</v>
      </c>
      <c r="F247" s="3" t="s">
        <v>544</v>
      </c>
    </row>
    <row r="248" spans="1:6">
      <c r="B248" s="4">
        <v>45912</v>
      </c>
      <c r="C248">
        <v>-5.16</v>
      </c>
      <c r="D248" t="s">
        <v>1</v>
      </c>
      <c r="F248" s="3" t="s">
        <v>545</v>
      </c>
    </row>
    <row r="249" spans="1:6">
      <c r="B249" s="4">
        <v>45912</v>
      </c>
      <c r="C249">
        <v>-1.5</v>
      </c>
      <c r="D249" t="s">
        <v>0</v>
      </c>
      <c r="E249" t="s">
        <v>560</v>
      </c>
      <c r="F249" s="3" t="s">
        <v>561</v>
      </c>
    </row>
    <row r="250" spans="1:6">
      <c r="A250">
        <f>SUM(C247:C250)</f>
        <v>-23.66</v>
      </c>
      <c r="B250" s="4">
        <v>45912</v>
      </c>
      <c r="C250">
        <v>-16</v>
      </c>
      <c r="D250" t="s">
        <v>0</v>
      </c>
      <c r="E250" t="s">
        <v>562</v>
      </c>
      <c r="F250" s="3" t="s">
        <v>563</v>
      </c>
    </row>
    <row r="251" spans="1:6">
      <c r="B251" s="4">
        <v>45913</v>
      </c>
      <c r="C251">
        <v>-0.31</v>
      </c>
      <c r="D251" t="s">
        <v>1</v>
      </c>
      <c r="E251" t="s">
        <v>549</v>
      </c>
      <c r="F251" t="s">
        <v>550</v>
      </c>
    </row>
    <row r="252" spans="1:6">
      <c r="A252">
        <f>SUM(C251:C252)</f>
        <v>-14.18</v>
      </c>
      <c r="B252" s="4">
        <v>45913</v>
      </c>
      <c r="C252">
        <v>-13.87</v>
      </c>
      <c r="D252" t="s">
        <v>508</v>
      </c>
      <c r="E252" t="s">
        <v>551</v>
      </c>
      <c r="F252" t="s">
        <v>552</v>
      </c>
    </row>
    <row r="253" spans="1:6">
      <c r="B253" s="4">
        <v>45914</v>
      </c>
      <c r="C253">
        <v>-33.33</v>
      </c>
      <c r="D253" t="s">
        <v>508</v>
      </c>
      <c r="E253" t="s">
        <v>553</v>
      </c>
      <c r="F253" t="s">
        <v>554</v>
      </c>
    </row>
    <row r="254" spans="1:6">
      <c r="A254">
        <f>SUM(C253:C254)</f>
        <v>-45.23</v>
      </c>
      <c r="B254" s="4">
        <v>45914</v>
      </c>
      <c r="C254">
        <v>-11.9</v>
      </c>
      <c r="D254" t="s">
        <v>0</v>
      </c>
      <c r="E254" t="s">
        <v>558</v>
      </c>
      <c r="F254" t="s">
        <v>559</v>
      </c>
    </row>
    <row r="255" spans="1:6">
      <c r="B255" s="4">
        <v>45915</v>
      </c>
      <c r="C255">
        <v>-9.3800000000000008</v>
      </c>
      <c r="D255" t="s">
        <v>0</v>
      </c>
      <c r="E255" t="s">
        <v>569</v>
      </c>
      <c r="F255" t="s">
        <v>570</v>
      </c>
    </row>
    <row r="256" spans="1:6">
      <c r="B256" s="4">
        <v>45915</v>
      </c>
      <c r="C256">
        <v>-5</v>
      </c>
      <c r="D256" t="s">
        <v>0</v>
      </c>
      <c r="F256" t="s">
        <v>571</v>
      </c>
    </row>
    <row r="257" spans="1:6">
      <c r="A257">
        <f>SUM(C255:C257)</f>
        <v>-29.28</v>
      </c>
      <c r="B257" s="4">
        <v>45915</v>
      </c>
      <c r="C257">
        <v>-14.9</v>
      </c>
      <c r="D257" t="s">
        <v>0</v>
      </c>
      <c r="E257" t="s">
        <v>572</v>
      </c>
      <c r="F257" t="s">
        <v>573</v>
      </c>
    </row>
    <row r="258" spans="1:6">
      <c r="B258" s="4">
        <v>45916</v>
      </c>
      <c r="C258">
        <v>-1.5</v>
      </c>
      <c r="D258" t="s">
        <v>0</v>
      </c>
      <c r="E258" t="s">
        <v>574</v>
      </c>
      <c r="F258" t="s">
        <v>575</v>
      </c>
    </row>
    <row r="259" spans="1:6">
      <c r="B259" s="4">
        <v>45916</v>
      </c>
      <c r="C259">
        <v>-2.99</v>
      </c>
      <c r="D259" t="s">
        <v>0</v>
      </c>
      <c r="F259" t="s">
        <v>576</v>
      </c>
    </row>
    <row r="260" spans="1:6">
      <c r="B260" s="4">
        <v>45916</v>
      </c>
      <c r="C260">
        <v>-0.99</v>
      </c>
      <c r="D260" t="s">
        <v>0</v>
      </c>
      <c r="E260" t="s">
        <v>577</v>
      </c>
      <c r="F260" t="s">
        <v>578</v>
      </c>
    </row>
    <row r="261" spans="1:6">
      <c r="A261">
        <f>SUM(C258:C261)</f>
        <v>-15.38</v>
      </c>
      <c r="B261" s="4">
        <v>45916</v>
      </c>
      <c r="C261">
        <v>-9.9</v>
      </c>
      <c r="D261" t="s">
        <v>0</v>
      </c>
      <c r="E261" t="s">
        <v>579</v>
      </c>
      <c r="F261" t="s">
        <v>570</v>
      </c>
    </row>
    <row r="262" spans="1:6">
      <c r="B262" s="4">
        <v>45917</v>
      </c>
      <c r="C262">
        <v>-1.5</v>
      </c>
      <c r="D262" t="s">
        <v>0</v>
      </c>
      <c r="E262" t="s">
        <v>574</v>
      </c>
      <c r="F262" t="s">
        <v>580</v>
      </c>
    </row>
    <row r="263" spans="1:6">
      <c r="B263" s="4">
        <v>45917</v>
      </c>
      <c r="C263">
        <v>-200</v>
      </c>
      <c r="D263" t="s">
        <v>599</v>
      </c>
      <c r="F263" t="s">
        <v>601</v>
      </c>
    </row>
    <row r="264" spans="1:6">
      <c r="B264" s="4">
        <v>45917</v>
      </c>
      <c r="C264">
        <v>-8.8000000000000007</v>
      </c>
      <c r="D264" t="s">
        <v>0</v>
      </c>
      <c r="E264" t="s">
        <v>579</v>
      </c>
      <c r="F264" t="s">
        <v>570</v>
      </c>
    </row>
    <row r="265" spans="1:6">
      <c r="A265">
        <f>SUM(C262:C265)</f>
        <v>-210.81</v>
      </c>
      <c r="B265" s="4">
        <v>45917</v>
      </c>
      <c r="C265">
        <v>-0.51</v>
      </c>
      <c r="D265" t="s">
        <v>1</v>
      </c>
      <c r="E265" t="s">
        <v>577</v>
      </c>
      <c r="F265" t="s">
        <v>578</v>
      </c>
    </row>
    <row r="266" spans="1:6">
      <c r="B266" s="4">
        <v>45918</v>
      </c>
      <c r="C266">
        <v>-2</v>
      </c>
      <c r="D266" t="s">
        <v>1</v>
      </c>
      <c r="E266" t="s">
        <v>577</v>
      </c>
      <c r="F266" t="s">
        <v>578</v>
      </c>
    </row>
    <row r="267" spans="1:6">
      <c r="B267" s="4">
        <v>45918</v>
      </c>
      <c r="C267">
        <v>-15.68</v>
      </c>
      <c r="D267" t="s">
        <v>1</v>
      </c>
      <c r="E267" t="s">
        <v>577</v>
      </c>
      <c r="F267" t="s">
        <v>578</v>
      </c>
    </row>
    <row r="268" spans="1:6">
      <c r="A268">
        <f>SUM(C266:C268)</f>
        <v>-30.66</v>
      </c>
      <c r="B268" s="4">
        <v>45918</v>
      </c>
      <c r="C268">
        <v>-12.98</v>
      </c>
      <c r="D268" t="s">
        <v>581</v>
      </c>
      <c r="E268" t="s">
        <v>582</v>
      </c>
      <c r="F268" t="s">
        <v>583</v>
      </c>
    </row>
    <row r="269" spans="1:6">
      <c r="A269">
        <f>SUM(C269)</f>
        <v>-31</v>
      </c>
      <c r="B269" s="4">
        <v>45919</v>
      </c>
      <c r="C269">
        <v>-31</v>
      </c>
      <c r="D269" t="s">
        <v>1</v>
      </c>
      <c r="E269" t="s">
        <v>584</v>
      </c>
      <c r="F269" t="s">
        <v>585</v>
      </c>
    </row>
    <row r="270" spans="1:6">
      <c r="B270" s="4">
        <v>45920</v>
      </c>
      <c r="C270">
        <v>-27.8</v>
      </c>
      <c r="D270" t="s">
        <v>0</v>
      </c>
      <c r="E270" t="s">
        <v>587</v>
      </c>
      <c r="F270" t="s">
        <v>588</v>
      </c>
    </row>
    <row r="271" spans="1:6">
      <c r="B271" s="4">
        <v>45920</v>
      </c>
      <c r="C271">
        <v>-100</v>
      </c>
      <c r="D271" t="s">
        <v>0</v>
      </c>
      <c r="F271" t="s">
        <v>597</v>
      </c>
    </row>
    <row r="272" spans="1:6">
      <c r="B272" s="4">
        <v>45920</v>
      </c>
      <c r="C272">
        <v>-157</v>
      </c>
      <c r="D272" t="s">
        <v>0</v>
      </c>
      <c r="E272" t="s">
        <v>589</v>
      </c>
      <c r="F272" t="s">
        <v>590</v>
      </c>
    </row>
    <row r="273" spans="1:6">
      <c r="A273">
        <f>SUM(C270:C273)</f>
        <v>-337.26</v>
      </c>
      <c r="B273" s="4">
        <v>45920</v>
      </c>
      <c r="C273">
        <v>-52.46</v>
      </c>
      <c r="D273" t="s">
        <v>0</v>
      </c>
      <c r="F273" t="s">
        <v>591</v>
      </c>
    </row>
    <row r="274" spans="1:6">
      <c r="B274" s="4">
        <v>45921</v>
      </c>
      <c r="C274">
        <v>-9.3800000000000008</v>
      </c>
      <c r="D274" t="s">
        <v>0</v>
      </c>
      <c r="E274" t="s">
        <v>592</v>
      </c>
      <c r="F274" t="s">
        <v>593</v>
      </c>
    </row>
    <row r="275" spans="1:6">
      <c r="A275">
        <f>SUM(C274:C275)</f>
        <v>-22.18</v>
      </c>
      <c r="B275" s="4">
        <v>45921</v>
      </c>
      <c r="C275">
        <v>-12.8</v>
      </c>
      <c r="D275" t="s">
        <v>0</v>
      </c>
      <c r="E275" t="s">
        <v>594</v>
      </c>
      <c r="F275" t="s">
        <v>593</v>
      </c>
    </row>
    <row r="276" spans="1:6">
      <c r="B276" s="4">
        <v>45922</v>
      </c>
      <c r="C276">
        <v>-1.5</v>
      </c>
      <c r="D276" t="s">
        <v>0</v>
      </c>
      <c r="E276" t="s">
        <v>602</v>
      </c>
      <c r="F276" t="s">
        <v>603</v>
      </c>
    </row>
    <row r="277" spans="1:6">
      <c r="A277">
        <f>SUM(C276:C277)</f>
        <v>-9.8800000000000008</v>
      </c>
      <c r="B277" s="4">
        <v>45922</v>
      </c>
      <c r="C277">
        <v>-8.3800000000000008</v>
      </c>
      <c r="D277" t="s">
        <v>0</v>
      </c>
      <c r="E277" t="s">
        <v>604</v>
      </c>
      <c r="F277" t="s">
        <v>205</v>
      </c>
    </row>
    <row r="278" spans="1:6">
      <c r="B278" s="4">
        <v>45923</v>
      </c>
      <c r="C278">
        <v>-3</v>
      </c>
      <c r="D278" t="s">
        <v>0</v>
      </c>
      <c r="E278" t="s">
        <v>605</v>
      </c>
      <c r="F278" t="s">
        <v>606</v>
      </c>
    </row>
    <row r="279" spans="1:6">
      <c r="B279" s="4">
        <v>45923</v>
      </c>
      <c r="C279">
        <v>-14.9</v>
      </c>
      <c r="D279" t="s">
        <v>0</v>
      </c>
      <c r="E279" t="s">
        <v>607</v>
      </c>
      <c r="F279" t="s">
        <v>608</v>
      </c>
    </row>
    <row r="280" spans="1:6">
      <c r="A280">
        <f>SUM(C278:C280)</f>
        <v>-62.9</v>
      </c>
      <c r="B280" s="4">
        <v>45923</v>
      </c>
      <c r="C280">
        <v>-45</v>
      </c>
      <c r="D280" t="s">
        <v>0</v>
      </c>
      <c r="E280" t="s">
        <v>609</v>
      </c>
      <c r="F280" t="s">
        <v>610</v>
      </c>
    </row>
    <row r="281" spans="1:6">
      <c r="A281">
        <f>SUM(C281)</f>
        <v>-20.9</v>
      </c>
      <c r="B281" s="4">
        <v>45925</v>
      </c>
      <c r="C281">
        <v>-20.9</v>
      </c>
      <c r="D281" t="s">
        <v>0</v>
      </c>
      <c r="E281" t="s">
        <v>607</v>
      </c>
      <c r="F281" t="s">
        <v>611</v>
      </c>
    </row>
    <row r="282" spans="1:6">
      <c r="A282">
        <f>SUM(C282)</f>
        <v>-19.899999999999999</v>
      </c>
      <c r="B282" s="4">
        <v>45926</v>
      </c>
      <c r="C282">
        <v>-19.899999999999999</v>
      </c>
      <c r="D282" t="s">
        <v>0</v>
      </c>
      <c r="E282" t="s">
        <v>612</v>
      </c>
      <c r="F282" t="s">
        <v>205</v>
      </c>
    </row>
    <row r="283" spans="1:6">
      <c r="B283" s="4">
        <v>45927</v>
      </c>
      <c r="C283">
        <v>-8</v>
      </c>
      <c r="D283" t="s">
        <v>616</v>
      </c>
      <c r="E283" t="s">
        <v>617</v>
      </c>
      <c r="F283" t="s">
        <v>618</v>
      </c>
    </row>
    <row r="284" spans="1:6">
      <c r="B284" s="4">
        <v>45927</v>
      </c>
      <c r="C284">
        <v>-27</v>
      </c>
      <c r="D284" t="s">
        <v>619</v>
      </c>
      <c r="E284" t="s">
        <v>617</v>
      </c>
      <c r="F284" t="s">
        <v>620</v>
      </c>
    </row>
    <row r="285" spans="1:6">
      <c r="B285" s="4">
        <v>45927</v>
      </c>
      <c r="C285">
        <v>-86</v>
      </c>
      <c r="D285" t="s">
        <v>621</v>
      </c>
      <c r="F285" t="s">
        <v>622</v>
      </c>
    </row>
    <row r="286" spans="1:6">
      <c r="B286" s="4">
        <v>45927</v>
      </c>
      <c r="C286">
        <v>-21.67</v>
      </c>
      <c r="D286" t="s">
        <v>623</v>
      </c>
      <c r="F286" t="s">
        <v>622</v>
      </c>
    </row>
    <row r="287" spans="1:6">
      <c r="B287" s="4">
        <v>45927</v>
      </c>
      <c r="C287">
        <v>-28</v>
      </c>
      <c r="D287" t="s">
        <v>623</v>
      </c>
      <c r="E287" t="s">
        <v>624</v>
      </c>
      <c r="F287" t="s">
        <v>625</v>
      </c>
    </row>
    <row r="288" spans="1:6">
      <c r="B288" s="4">
        <v>45927</v>
      </c>
      <c r="C288">
        <v>-20</v>
      </c>
      <c r="D288" t="s">
        <v>623</v>
      </c>
      <c r="E288" t="s">
        <v>626</v>
      </c>
      <c r="F288" t="s">
        <v>625</v>
      </c>
    </row>
    <row r="289" spans="1:6">
      <c r="B289" s="4">
        <v>45927</v>
      </c>
      <c r="C289">
        <v>-100</v>
      </c>
      <c r="D289" t="s">
        <v>632</v>
      </c>
      <c r="F289" t="s">
        <v>633</v>
      </c>
    </row>
    <row r="290" spans="1:6">
      <c r="A290">
        <f>SUM(C283:C290)</f>
        <v>-292.47000000000003</v>
      </c>
      <c r="B290" s="4">
        <v>45927</v>
      </c>
      <c r="C290">
        <v>-1.8</v>
      </c>
      <c r="D290" t="s">
        <v>627</v>
      </c>
      <c r="E290" t="s">
        <v>628</v>
      </c>
      <c r="F290" t="s">
        <v>629</v>
      </c>
    </row>
    <row r="291" spans="1:6">
      <c r="B291" s="4">
        <v>45928</v>
      </c>
      <c r="C291">
        <v>-27.4</v>
      </c>
      <c r="D291" t="s">
        <v>1</v>
      </c>
      <c r="E291" t="s">
        <v>624</v>
      </c>
      <c r="F291" t="s">
        <v>630</v>
      </c>
    </row>
    <row r="292" spans="1:6">
      <c r="A292">
        <f>SUM(C291:C292)</f>
        <v>-57.2</v>
      </c>
      <c r="B292" s="4">
        <v>45928</v>
      </c>
      <c r="C292">
        <v>-29.8</v>
      </c>
      <c r="D292" t="s">
        <v>0</v>
      </c>
      <c r="F292" t="s">
        <v>631</v>
      </c>
    </row>
    <row r="293" spans="1:6">
      <c r="B293" s="4">
        <v>45929</v>
      </c>
      <c r="C293">
        <v>-219</v>
      </c>
      <c r="D293" t="s">
        <v>1</v>
      </c>
      <c r="F293" t="s">
        <v>634</v>
      </c>
    </row>
    <row r="294" spans="1:6">
      <c r="A294">
        <f>SUM(C293:C294)</f>
        <v>-235.43</v>
      </c>
      <c r="B294" s="4">
        <v>45929</v>
      </c>
      <c r="C294">
        <v>-16.43</v>
      </c>
      <c r="D294" t="s">
        <v>0</v>
      </c>
      <c r="E294" t="s">
        <v>635</v>
      </c>
      <c r="F294" t="s">
        <v>611</v>
      </c>
    </row>
    <row r="295" spans="1:6">
      <c r="A295" s="24">
        <f>SUM(C295)</f>
        <v>-14.9</v>
      </c>
      <c r="B295" s="25">
        <v>45930</v>
      </c>
      <c r="C295" s="24">
        <v>-14.9</v>
      </c>
      <c r="D295" s="24" t="s">
        <v>0</v>
      </c>
      <c r="E295" s="24" t="s">
        <v>635</v>
      </c>
      <c r="F295" s="24" t="s">
        <v>611</v>
      </c>
    </row>
    <row r="296" spans="1:6">
      <c r="B296" s="4">
        <v>45931</v>
      </c>
      <c r="C296">
        <v>-28.41</v>
      </c>
      <c r="D296" t="s">
        <v>0</v>
      </c>
      <c r="F296" t="s">
        <v>656</v>
      </c>
    </row>
    <row r="297" spans="1:6">
      <c r="B297" s="4">
        <v>45931</v>
      </c>
      <c r="C297">
        <v>-9.36</v>
      </c>
      <c r="D297" t="s">
        <v>599</v>
      </c>
      <c r="E297" t="s">
        <v>660</v>
      </c>
      <c r="F297" t="s">
        <v>657</v>
      </c>
    </row>
    <row r="298" spans="1:6">
      <c r="A298">
        <f>SUM(C296:C298)</f>
        <v>-57.669999999999995</v>
      </c>
      <c r="B298" s="4">
        <v>45931</v>
      </c>
      <c r="C298">
        <v>-19.899999999999999</v>
      </c>
      <c r="D298" t="s">
        <v>0</v>
      </c>
      <c r="E298" t="s">
        <v>659</v>
      </c>
      <c r="F298" t="s">
        <v>657</v>
      </c>
    </row>
    <row r="299" spans="1:6">
      <c r="B299" s="4">
        <v>45932</v>
      </c>
      <c r="C299">
        <v>-9.3800000000000008</v>
      </c>
      <c r="D299" t="s">
        <v>0</v>
      </c>
      <c r="E299" t="s">
        <v>658</v>
      </c>
      <c r="F299" t="s">
        <v>657</v>
      </c>
    </row>
    <row r="300" spans="1:6">
      <c r="A300">
        <f>SUM(C299:C300)</f>
        <v>-478.89</v>
      </c>
      <c r="B300" s="4">
        <v>45932</v>
      </c>
      <c r="C300">
        <v>-469.51</v>
      </c>
      <c r="D300" t="s">
        <v>0</v>
      </c>
      <c r="E300" t="s">
        <v>647</v>
      </c>
      <c r="F300" s="3" t="s">
        <v>645</v>
      </c>
    </row>
    <row r="301" spans="1:6">
      <c r="B301" s="4">
        <v>45933</v>
      </c>
      <c r="C301">
        <v>-12.4</v>
      </c>
      <c r="D301" t="s">
        <v>0</v>
      </c>
      <c r="E301" t="s">
        <v>661</v>
      </c>
      <c r="F301" t="s">
        <v>657</v>
      </c>
    </row>
    <row r="302" spans="1:6">
      <c r="B302" s="4">
        <v>45933</v>
      </c>
      <c r="C302">
        <v>-19.899999999999999</v>
      </c>
      <c r="D302" t="s">
        <v>0</v>
      </c>
      <c r="E302" t="s">
        <v>659</v>
      </c>
      <c r="F302" t="s">
        <v>657</v>
      </c>
    </row>
    <row r="303" spans="1:6">
      <c r="B303" s="4">
        <v>45933</v>
      </c>
      <c r="C303">
        <v>-112.25</v>
      </c>
      <c r="D303" t="s">
        <v>0</v>
      </c>
      <c r="F303" s="3" t="s">
        <v>649</v>
      </c>
    </row>
    <row r="304" spans="1:6">
      <c r="A304">
        <f>SUM(C301:C304)</f>
        <v>-155.65</v>
      </c>
      <c r="B304" s="4">
        <v>45933</v>
      </c>
      <c r="C304">
        <v>-11.1</v>
      </c>
      <c r="D304" t="s">
        <v>0</v>
      </c>
      <c r="E304" t="s">
        <v>471</v>
      </c>
      <c r="F304" t="s">
        <v>657</v>
      </c>
    </row>
    <row r="305" spans="1:6">
      <c r="B305" s="4">
        <v>45934</v>
      </c>
      <c r="C305">
        <v>-9.3800000000000008</v>
      </c>
      <c r="D305" t="s">
        <v>0</v>
      </c>
      <c r="E305" t="s">
        <v>662</v>
      </c>
      <c r="F305" t="s">
        <v>657</v>
      </c>
    </row>
    <row r="306" spans="1:6">
      <c r="B306" s="4">
        <v>45934</v>
      </c>
      <c r="C306">
        <v>-16.899999999999999</v>
      </c>
      <c r="D306" t="s">
        <v>0</v>
      </c>
      <c r="E306" t="s">
        <v>663</v>
      </c>
      <c r="F306" t="s">
        <v>657</v>
      </c>
    </row>
    <row r="307" spans="1:6">
      <c r="A307">
        <f>SUM(C305:C307)</f>
        <v>-288.27999999999997</v>
      </c>
      <c r="B307" s="4">
        <v>45934</v>
      </c>
      <c r="C307">
        <v>-262</v>
      </c>
      <c r="D307" t="s">
        <v>1</v>
      </c>
      <c r="F307" s="3" t="s">
        <v>650</v>
      </c>
    </row>
    <row r="308" spans="1:6">
      <c r="B308" s="4">
        <v>45935</v>
      </c>
      <c r="C308">
        <v>-3000</v>
      </c>
      <c r="D308" t="s">
        <v>0</v>
      </c>
      <c r="F308" s="3" t="s">
        <v>651</v>
      </c>
    </row>
    <row r="309" spans="1:6">
      <c r="B309" s="4">
        <v>45935</v>
      </c>
      <c r="C309">
        <v>-5000</v>
      </c>
      <c r="D309" t="s">
        <v>652</v>
      </c>
      <c r="F309" s="3" t="s">
        <v>651</v>
      </c>
    </row>
    <row r="310" spans="1:6">
      <c r="B310" s="4">
        <v>45935</v>
      </c>
      <c r="C310">
        <v>-12.4</v>
      </c>
      <c r="D310" t="s">
        <v>0</v>
      </c>
      <c r="E310" t="s">
        <v>662</v>
      </c>
      <c r="F310" t="s">
        <v>657</v>
      </c>
    </row>
    <row r="311" spans="1:6">
      <c r="B311" s="4">
        <v>45935</v>
      </c>
      <c r="C311">
        <v>-9.3800000000000008</v>
      </c>
      <c r="D311" t="s">
        <v>0</v>
      </c>
      <c r="E311" t="s">
        <v>662</v>
      </c>
      <c r="F311" t="s">
        <v>657</v>
      </c>
    </row>
    <row r="312" spans="1:6">
      <c r="A312">
        <f>SUM(C308:C312)</f>
        <v>-8036.1799999999994</v>
      </c>
      <c r="B312" s="4">
        <v>45935</v>
      </c>
      <c r="C312">
        <v>-14.4</v>
      </c>
      <c r="D312" t="s">
        <v>0</v>
      </c>
      <c r="E312" t="s">
        <v>655</v>
      </c>
      <c r="F312" s="3" t="s">
        <v>654</v>
      </c>
    </row>
    <row r="313" spans="1:6">
      <c r="A313">
        <f>SUM(C313)</f>
        <v>-16.98</v>
      </c>
      <c r="B313" s="4">
        <v>45936</v>
      </c>
      <c r="C313">
        <v>-16.98</v>
      </c>
      <c r="D313" t="s">
        <v>0</v>
      </c>
      <c r="E313" t="s">
        <v>676</v>
      </c>
      <c r="F313" s="3" t="s">
        <v>677</v>
      </c>
    </row>
    <row r="314" spans="1:6">
      <c r="B314" s="4">
        <v>45937</v>
      </c>
      <c r="C314">
        <v>-10.6</v>
      </c>
      <c r="D314" t="s">
        <v>0</v>
      </c>
      <c r="E314" t="s">
        <v>679</v>
      </c>
      <c r="F314" s="3" t="s">
        <v>678</v>
      </c>
    </row>
    <row r="315" spans="1:6">
      <c r="B315" s="4">
        <v>45937</v>
      </c>
      <c r="C315">
        <v>-117</v>
      </c>
      <c r="D315" t="s">
        <v>0</v>
      </c>
      <c r="F315" s="3" t="s">
        <v>667</v>
      </c>
    </row>
    <row r="316" spans="1:6">
      <c r="A316">
        <f>SUM(C314:C316)</f>
        <v>-131.6</v>
      </c>
      <c r="B316" s="4">
        <v>45937</v>
      </c>
      <c r="C316">
        <v>-4</v>
      </c>
      <c r="D316" t="s">
        <v>0</v>
      </c>
      <c r="E316" t="s">
        <v>617</v>
      </c>
      <c r="F316" s="3" t="s">
        <v>668</v>
      </c>
    </row>
    <row r="317" spans="1:6">
      <c r="B317" s="4">
        <v>45938</v>
      </c>
      <c r="C317">
        <v>-55.5</v>
      </c>
      <c r="D317" t="s">
        <v>0</v>
      </c>
      <c r="E317" t="s">
        <v>669</v>
      </c>
      <c r="F317" s="3" t="s">
        <v>670</v>
      </c>
    </row>
    <row r="318" spans="1:6">
      <c r="B318" s="4">
        <v>45938</v>
      </c>
      <c r="C318">
        <v>-33.159999999999997</v>
      </c>
      <c r="D318" t="s">
        <v>0</v>
      </c>
      <c r="E318" t="s">
        <v>672</v>
      </c>
      <c r="F318" s="3" t="s">
        <v>671</v>
      </c>
    </row>
    <row r="319" spans="1:6">
      <c r="A319">
        <f>SUM(C317:C319)</f>
        <v>-116.66</v>
      </c>
      <c r="B319" s="4">
        <v>45938</v>
      </c>
      <c r="C319">
        <v>-28</v>
      </c>
      <c r="D319" t="s">
        <v>0</v>
      </c>
      <c r="E319" t="s">
        <v>617</v>
      </c>
      <c r="F319" s="3" t="s">
        <v>673</v>
      </c>
    </row>
    <row r="320" spans="1:6">
      <c r="A320">
        <f>SUM(C320)</f>
        <v>-19.899999999999999</v>
      </c>
      <c r="B320" s="4">
        <v>45939</v>
      </c>
      <c r="C320">
        <v>-19.899999999999999</v>
      </c>
      <c r="D320" t="s">
        <v>0</v>
      </c>
      <c r="E320" t="s">
        <v>674</v>
      </c>
      <c r="F320" s="3" t="s">
        <v>675</v>
      </c>
    </row>
    <row r="321" spans="1:6">
      <c r="B321" s="4">
        <v>45940</v>
      </c>
      <c r="C321">
        <v>-3</v>
      </c>
      <c r="D321" t="s">
        <v>0</v>
      </c>
      <c r="E321" t="s">
        <v>681</v>
      </c>
      <c r="F321" s="3" t="s">
        <v>682</v>
      </c>
    </row>
    <row r="322" spans="1:6">
      <c r="B322" s="4">
        <v>45940</v>
      </c>
      <c r="C322">
        <v>-14.88</v>
      </c>
      <c r="D322" t="s">
        <v>683</v>
      </c>
      <c r="E322" t="s">
        <v>684</v>
      </c>
      <c r="F322" s="3" t="s">
        <v>685</v>
      </c>
    </row>
    <row r="323" spans="1:6">
      <c r="B323" s="4">
        <v>45940</v>
      </c>
      <c r="C323">
        <v>-97</v>
      </c>
      <c r="D323" t="s">
        <v>686</v>
      </c>
      <c r="F323" s="3" t="s">
        <v>687</v>
      </c>
    </row>
    <row r="324" spans="1:6">
      <c r="B324" s="4">
        <v>45940</v>
      </c>
      <c r="C324">
        <v>-251.06</v>
      </c>
      <c r="D324" t="s">
        <v>508</v>
      </c>
      <c r="F324" s="3" t="s">
        <v>688</v>
      </c>
    </row>
    <row r="325" spans="1:6">
      <c r="A325">
        <f>SUM(C321:C325)</f>
        <v>-383.44</v>
      </c>
      <c r="B325" s="4">
        <v>45940</v>
      </c>
      <c r="C325">
        <v>-17.5</v>
      </c>
      <c r="D325" t="s">
        <v>599</v>
      </c>
      <c r="F325" s="3" t="s">
        <v>689</v>
      </c>
    </row>
    <row r="326" spans="1:6">
      <c r="A326">
        <f>SUM(C326)</f>
        <v>-14.9</v>
      </c>
      <c r="B326" s="4">
        <v>45941</v>
      </c>
      <c r="C326">
        <v>-14.9</v>
      </c>
      <c r="D326" t="s">
        <v>0</v>
      </c>
      <c r="E326" t="s">
        <v>690</v>
      </c>
      <c r="F326" s="3" t="s">
        <v>685</v>
      </c>
    </row>
    <row r="327" spans="1:6">
      <c r="A327" s="29"/>
      <c r="B327" s="28">
        <v>45942</v>
      </c>
      <c r="C327" s="29">
        <v>-14.8</v>
      </c>
      <c r="D327" s="29" t="s">
        <v>0</v>
      </c>
      <c r="E327" s="29" t="s">
        <v>696</v>
      </c>
      <c r="F327" s="2" t="s">
        <v>205</v>
      </c>
    </row>
    <row r="328" spans="1:6">
      <c r="A328" s="29"/>
      <c r="B328" s="28">
        <v>45942</v>
      </c>
      <c r="C328" s="29">
        <v>-97</v>
      </c>
      <c r="D328" s="29" t="s">
        <v>1</v>
      </c>
      <c r="E328" s="29"/>
      <c r="F328" s="2" t="s">
        <v>728</v>
      </c>
    </row>
    <row r="329" spans="1:6">
      <c r="A329" s="29">
        <f>SUM(C327:C329)</f>
        <v>-132.69999999999999</v>
      </c>
      <c r="B329" s="28">
        <v>45942</v>
      </c>
      <c r="C329" s="29">
        <v>-20.9</v>
      </c>
      <c r="D329" s="29" t="s">
        <v>0</v>
      </c>
      <c r="E329" s="29" t="s">
        <v>697</v>
      </c>
      <c r="F329" s="2" t="s">
        <v>205</v>
      </c>
    </row>
    <row r="330" spans="1:6">
      <c r="A330" s="29">
        <f>SUM(C330)</f>
        <v>-25.9</v>
      </c>
      <c r="B330" s="28">
        <v>45943</v>
      </c>
      <c r="C330" s="29">
        <v>-25.9</v>
      </c>
      <c r="D330" s="29" t="s">
        <v>0</v>
      </c>
      <c r="E330" s="29" t="s">
        <v>698</v>
      </c>
      <c r="F330" s="2" t="s">
        <v>205</v>
      </c>
    </row>
    <row r="331" spans="1:6">
      <c r="A331" s="29">
        <f>SUM(C331)</f>
        <v>-8.3800000000000008</v>
      </c>
      <c r="B331" s="28">
        <v>45944</v>
      </c>
      <c r="C331" s="29">
        <v>-8.3800000000000008</v>
      </c>
      <c r="D331" s="29" t="s">
        <v>0</v>
      </c>
      <c r="E331" s="29" t="s">
        <v>699</v>
      </c>
      <c r="F331" s="2" t="s">
        <v>205</v>
      </c>
    </row>
    <row r="332" spans="1:6">
      <c r="A332" s="29"/>
      <c r="B332" s="28">
        <v>45945</v>
      </c>
      <c r="C332" s="29">
        <v>-295.99</v>
      </c>
      <c r="D332" s="29" t="s">
        <v>501</v>
      </c>
      <c r="E332" s="29"/>
      <c r="F332" s="2" t="s">
        <v>725</v>
      </c>
    </row>
    <row r="333" spans="1:6">
      <c r="A333" s="29"/>
      <c r="B333" s="28">
        <v>45945</v>
      </c>
      <c r="C333" s="29">
        <v>-8.3800000000000008</v>
      </c>
      <c r="D333" s="29" t="s">
        <v>0</v>
      </c>
      <c r="E333" s="29" t="s">
        <v>700</v>
      </c>
      <c r="F333" s="2" t="s">
        <v>205</v>
      </c>
    </row>
    <row r="334" spans="1:6">
      <c r="A334" s="29"/>
      <c r="B334" s="28">
        <v>45945</v>
      </c>
      <c r="C334" s="29">
        <v>-22</v>
      </c>
      <c r="D334" s="29" t="s">
        <v>0</v>
      </c>
      <c r="E334" s="29"/>
      <c r="F334" s="2" t="s">
        <v>701</v>
      </c>
    </row>
    <row r="335" spans="1:6">
      <c r="A335" s="29"/>
      <c r="B335" s="28">
        <v>45945</v>
      </c>
      <c r="C335" s="29">
        <v>-119.8</v>
      </c>
      <c r="D335" s="29" t="s">
        <v>0</v>
      </c>
      <c r="E335" s="29"/>
      <c r="F335" s="2" t="s">
        <v>702</v>
      </c>
    </row>
    <row r="336" spans="1:6">
      <c r="A336" s="29">
        <f>SUM(C332:C336)</f>
        <v>-555.17000000000007</v>
      </c>
      <c r="B336" s="28">
        <v>45945</v>
      </c>
      <c r="C336" s="29">
        <v>-109</v>
      </c>
      <c r="D336" s="29" t="s">
        <v>1</v>
      </c>
      <c r="E336" s="29"/>
      <c r="F336" s="2" t="s">
        <v>703</v>
      </c>
    </row>
    <row r="337" spans="1:6">
      <c r="A337" s="29"/>
      <c r="B337" s="28">
        <v>45946</v>
      </c>
      <c r="C337" s="29">
        <v>-129.9</v>
      </c>
      <c r="D337" s="29" t="s">
        <v>1</v>
      </c>
      <c r="E337" s="29"/>
      <c r="F337" s="2" t="s">
        <v>704</v>
      </c>
    </row>
    <row r="338" spans="1:6">
      <c r="A338" s="29"/>
      <c r="B338" s="28">
        <v>45946</v>
      </c>
      <c r="C338" s="29">
        <v>-78</v>
      </c>
      <c r="D338" s="29" t="s">
        <v>1</v>
      </c>
      <c r="E338" s="29"/>
      <c r="F338" s="2" t="s">
        <v>705</v>
      </c>
    </row>
    <row r="339" spans="1:6">
      <c r="A339" s="29"/>
      <c r="B339" s="28">
        <v>45946</v>
      </c>
      <c r="C339" s="29">
        <v>-13.99</v>
      </c>
      <c r="D339" s="29" t="s">
        <v>1</v>
      </c>
      <c r="E339" s="29"/>
      <c r="F339" s="2" t="s">
        <v>706</v>
      </c>
    </row>
    <row r="340" spans="1:6">
      <c r="A340" s="29"/>
      <c r="B340" s="28">
        <v>45946</v>
      </c>
      <c r="C340" s="29">
        <v>-100</v>
      </c>
      <c r="D340" s="29" t="s">
        <v>0</v>
      </c>
      <c r="E340" s="29"/>
      <c r="F340" s="2" t="s">
        <v>58</v>
      </c>
    </row>
    <row r="341" spans="1:6">
      <c r="A341" s="29"/>
      <c r="B341" s="28">
        <v>45946</v>
      </c>
      <c r="C341" s="29">
        <v>-8.9</v>
      </c>
      <c r="D341" s="29" t="s">
        <v>0</v>
      </c>
      <c r="E341" s="29" t="s">
        <v>707</v>
      </c>
      <c r="F341" s="2" t="s">
        <v>708</v>
      </c>
    </row>
    <row r="342" spans="1:6">
      <c r="A342" s="29"/>
      <c r="B342" s="28">
        <v>45946</v>
      </c>
      <c r="C342" s="29">
        <v>-8.6999999999999993</v>
      </c>
      <c r="D342" s="29" t="s">
        <v>0</v>
      </c>
      <c r="E342" s="29"/>
      <c r="F342" s="2" t="s">
        <v>709</v>
      </c>
    </row>
    <row r="343" spans="1:6">
      <c r="A343" s="29">
        <f>SUM(C337:C343)</f>
        <v>-352.48999999999995</v>
      </c>
      <c r="B343" s="28">
        <v>45946</v>
      </c>
      <c r="C343" s="29">
        <v>-13</v>
      </c>
      <c r="D343" s="29" t="s">
        <v>508</v>
      </c>
      <c r="E343" s="29"/>
      <c r="F343" s="2" t="s">
        <v>710</v>
      </c>
    </row>
    <row r="344" spans="1:6">
      <c r="A344" s="29"/>
      <c r="B344" s="28">
        <v>45947</v>
      </c>
      <c r="C344" s="29">
        <v>-16.8</v>
      </c>
      <c r="D344" s="29" t="s">
        <v>0</v>
      </c>
      <c r="E344" s="29" t="s">
        <v>707</v>
      </c>
      <c r="F344" s="2" t="s">
        <v>708</v>
      </c>
    </row>
    <row r="345" spans="1:6">
      <c r="A345" s="29">
        <f>SUM(C344:C345)</f>
        <v>-35.6</v>
      </c>
      <c r="B345" s="28">
        <v>45947</v>
      </c>
      <c r="C345" s="29">
        <v>-18.8</v>
      </c>
      <c r="D345" s="29" t="s">
        <v>1</v>
      </c>
      <c r="E345" s="29"/>
      <c r="F345" s="2" t="s">
        <v>711</v>
      </c>
    </row>
    <row r="346" spans="1:6">
      <c r="B346" s="28">
        <v>45948</v>
      </c>
      <c r="C346" s="29">
        <v>-14.89</v>
      </c>
      <c r="D346" t="s">
        <v>0</v>
      </c>
      <c r="F346" s="2" t="s">
        <v>730</v>
      </c>
    </row>
    <row r="347" spans="1:6">
      <c r="B347" s="28">
        <v>45948</v>
      </c>
      <c r="C347" s="29">
        <v>-8.6</v>
      </c>
      <c r="D347" t="s">
        <v>0</v>
      </c>
      <c r="F347" s="2" t="s">
        <v>731</v>
      </c>
    </row>
    <row r="348" spans="1:6">
      <c r="B348" s="28">
        <v>45948</v>
      </c>
      <c r="C348" s="29">
        <v>-83</v>
      </c>
      <c r="D348" t="s">
        <v>758</v>
      </c>
      <c r="E348" t="s">
        <v>748</v>
      </c>
      <c r="F348" s="2" t="s">
        <v>759</v>
      </c>
    </row>
    <row r="349" spans="1:6">
      <c r="B349" s="28">
        <v>45948</v>
      </c>
      <c r="C349" s="29">
        <v>-5</v>
      </c>
      <c r="D349" t="s">
        <v>0</v>
      </c>
      <c r="F349" s="2" t="s">
        <v>732</v>
      </c>
    </row>
    <row r="350" spans="1:6">
      <c r="B350" s="28">
        <v>45948</v>
      </c>
      <c r="C350" s="29">
        <v>-38</v>
      </c>
      <c r="D350" t="s">
        <v>0</v>
      </c>
      <c r="F350" s="2" t="s">
        <v>733</v>
      </c>
    </row>
    <row r="351" spans="1:6">
      <c r="B351" s="28">
        <v>45948</v>
      </c>
      <c r="C351" s="29">
        <v>-34</v>
      </c>
      <c r="D351" t="s">
        <v>0</v>
      </c>
      <c r="E351" t="s">
        <v>734</v>
      </c>
      <c r="F351" s="2" t="s">
        <v>735</v>
      </c>
    </row>
    <row r="352" spans="1:6">
      <c r="B352" s="28">
        <v>45948</v>
      </c>
      <c r="C352" s="29">
        <v>-20</v>
      </c>
      <c r="D352" t="s">
        <v>0</v>
      </c>
      <c r="F352" s="2" t="s">
        <v>736</v>
      </c>
    </row>
    <row r="353" spans="1:6">
      <c r="B353" s="28">
        <v>45948</v>
      </c>
      <c r="C353" s="29">
        <v>-13.4</v>
      </c>
      <c r="D353" t="s">
        <v>1</v>
      </c>
      <c r="F353" s="2" t="s">
        <v>745</v>
      </c>
    </row>
    <row r="354" spans="1:6">
      <c r="A354">
        <f>SUM(C346:C354)</f>
        <v>-2216.89</v>
      </c>
      <c r="B354" s="28">
        <v>45948</v>
      </c>
      <c r="C354" s="29">
        <v>-2000</v>
      </c>
      <c r="D354" t="s">
        <v>0</v>
      </c>
      <c r="F354" s="2" t="s">
        <v>737</v>
      </c>
    </row>
    <row r="355" spans="1:6">
      <c r="B355" s="28">
        <v>45949</v>
      </c>
      <c r="C355" s="29">
        <v>-9.6</v>
      </c>
      <c r="D355" t="s">
        <v>0</v>
      </c>
      <c r="F355" s="2" t="s">
        <v>730</v>
      </c>
    </row>
    <row r="356" spans="1:6">
      <c r="B356" s="28">
        <v>45949</v>
      </c>
      <c r="C356" s="29">
        <v>-13.49</v>
      </c>
      <c r="D356" t="s">
        <v>1</v>
      </c>
      <c r="F356" s="2" t="s">
        <v>745</v>
      </c>
    </row>
    <row r="357" spans="1:6">
      <c r="A357">
        <f>SUM(C355:C357)</f>
        <v>-37.89</v>
      </c>
      <c r="B357" s="28">
        <v>45949</v>
      </c>
      <c r="C357" s="29">
        <v>-14.8</v>
      </c>
      <c r="D357" t="s">
        <v>0</v>
      </c>
      <c r="F357" s="2" t="s">
        <v>730</v>
      </c>
    </row>
    <row r="358" spans="1:6">
      <c r="B358" s="28">
        <v>45950</v>
      </c>
      <c r="C358" s="29">
        <v>-3</v>
      </c>
      <c r="D358" t="s">
        <v>0</v>
      </c>
      <c r="E358" t="s">
        <v>741</v>
      </c>
      <c r="F358" s="2" t="s">
        <v>742</v>
      </c>
    </row>
    <row r="359" spans="1:6">
      <c r="B359" s="28">
        <v>45950</v>
      </c>
      <c r="C359" s="29">
        <v>-15.8</v>
      </c>
      <c r="D359" t="s">
        <v>0</v>
      </c>
      <c r="E359" t="s">
        <v>743</v>
      </c>
      <c r="F359" s="2" t="s">
        <v>744</v>
      </c>
    </row>
    <row r="360" spans="1:6">
      <c r="A360">
        <f>SUM(C358:C360)</f>
        <v>-28.6</v>
      </c>
      <c r="B360" s="28">
        <v>45950</v>
      </c>
      <c r="C360" s="29">
        <v>-9.8000000000000007</v>
      </c>
      <c r="D360" t="s">
        <v>1</v>
      </c>
      <c r="F360" s="2" t="s">
        <v>746</v>
      </c>
    </row>
    <row r="361" spans="1:6">
      <c r="B361" s="4">
        <v>45951</v>
      </c>
      <c r="C361" s="29">
        <v>-3</v>
      </c>
      <c r="D361" t="s">
        <v>0</v>
      </c>
      <c r="E361" t="s">
        <v>747</v>
      </c>
      <c r="F361" s="2" t="s">
        <v>396</v>
      </c>
    </row>
    <row r="362" spans="1:6">
      <c r="A362">
        <f>SUM(C361:C362)</f>
        <v>-20.98</v>
      </c>
      <c r="B362" s="4">
        <v>45951</v>
      </c>
      <c r="C362" s="29">
        <v>-17.98</v>
      </c>
      <c r="D362" t="s">
        <v>0</v>
      </c>
      <c r="E362" t="s">
        <v>748</v>
      </c>
      <c r="F362" s="2" t="s">
        <v>749</v>
      </c>
    </row>
    <row r="363" spans="1:6">
      <c r="B363" s="4">
        <v>45952</v>
      </c>
      <c r="C363" s="29">
        <v>-3</v>
      </c>
      <c r="D363" t="s">
        <v>0</v>
      </c>
      <c r="E363" t="s">
        <v>750</v>
      </c>
      <c r="F363" s="2" t="s">
        <v>751</v>
      </c>
    </row>
    <row r="364" spans="1:6">
      <c r="A364">
        <f>SUM(C363:C364)</f>
        <v>-17.899999999999999</v>
      </c>
      <c r="B364" s="4">
        <v>45952</v>
      </c>
      <c r="C364" s="29">
        <v>-14.9</v>
      </c>
      <c r="D364" t="s">
        <v>0</v>
      </c>
      <c r="E364" t="s">
        <v>752</v>
      </c>
      <c r="F364" s="2" t="s">
        <v>753</v>
      </c>
    </row>
    <row r="365" spans="1:6">
      <c r="B365" s="4">
        <v>45953</v>
      </c>
      <c r="C365" s="29">
        <v>-3</v>
      </c>
      <c r="D365" t="s">
        <v>0</v>
      </c>
      <c r="E365" t="s">
        <v>754</v>
      </c>
      <c r="F365" s="2" t="s">
        <v>755</v>
      </c>
    </row>
    <row r="366" spans="1:6">
      <c r="A366">
        <f>SUM(C365:C366)</f>
        <v>-20.9</v>
      </c>
      <c r="B366" s="4">
        <v>45953</v>
      </c>
      <c r="C366" s="29">
        <v>-17.899999999999999</v>
      </c>
      <c r="D366" t="s">
        <v>0</v>
      </c>
      <c r="E366" t="s">
        <v>748</v>
      </c>
      <c r="F366" s="2" t="s">
        <v>756</v>
      </c>
    </row>
    <row r="367" spans="1:6">
      <c r="B367" s="4">
        <v>45954</v>
      </c>
      <c r="C367" s="29">
        <v>-3</v>
      </c>
      <c r="D367" t="s">
        <v>0</v>
      </c>
      <c r="E367" t="s">
        <v>754</v>
      </c>
      <c r="F367" s="2" t="s">
        <v>757</v>
      </c>
    </row>
    <row r="368" spans="1:6">
      <c r="A368">
        <f>SUM(C367:C368)</f>
        <v>-18.8</v>
      </c>
      <c r="B368" s="4">
        <v>45954</v>
      </c>
      <c r="C368" s="29">
        <v>-15.8</v>
      </c>
      <c r="D368" t="s">
        <v>0</v>
      </c>
      <c r="E368" t="s">
        <v>748</v>
      </c>
      <c r="F368" s="2" t="s">
        <v>749</v>
      </c>
    </row>
    <row r="369" spans="1:6">
      <c r="B369" s="4">
        <v>45955</v>
      </c>
      <c r="C369" s="29">
        <v>-14.8</v>
      </c>
      <c r="D369" t="s">
        <v>0</v>
      </c>
      <c r="E369" t="s">
        <v>760</v>
      </c>
      <c r="F369" s="2" t="s">
        <v>205</v>
      </c>
    </row>
    <row r="370" spans="1:6">
      <c r="B370" s="4">
        <v>45955</v>
      </c>
      <c r="C370" s="29">
        <v>-13.3</v>
      </c>
      <c r="D370" t="s">
        <v>0</v>
      </c>
      <c r="E370" t="s">
        <v>761</v>
      </c>
      <c r="F370" s="2" t="s">
        <v>205</v>
      </c>
    </row>
    <row r="371" spans="1:6">
      <c r="B371" s="4">
        <v>45955</v>
      </c>
      <c r="C371" s="29">
        <v>-26.1</v>
      </c>
      <c r="D371" t="s">
        <v>0</v>
      </c>
      <c r="E371" t="s">
        <v>126</v>
      </c>
      <c r="F371" s="2" t="s">
        <v>763</v>
      </c>
    </row>
    <row r="372" spans="1:6">
      <c r="A372">
        <f>SUM(C369:C372)</f>
        <v>-57.900000000000006</v>
      </c>
      <c r="B372" s="4">
        <v>45955</v>
      </c>
      <c r="C372" s="29">
        <v>-3.7</v>
      </c>
      <c r="D372" t="s">
        <v>0</v>
      </c>
      <c r="E372" t="s">
        <v>126</v>
      </c>
      <c r="F372" s="2" t="s">
        <v>762</v>
      </c>
    </row>
    <row r="373" spans="1:6">
      <c r="B373" s="4">
        <v>45956</v>
      </c>
      <c r="C373" s="29">
        <v>-10.9</v>
      </c>
      <c r="D373" t="s">
        <v>0</v>
      </c>
      <c r="E373" t="s">
        <v>764</v>
      </c>
      <c r="F373" s="2" t="s">
        <v>765</v>
      </c>
    </row>
    <row r="374" spans="1:6">
      <c r="B374" s="4">
        <v>45956</v>
      </c>
      <c r="C374" s="29">
        <v>-5</v>
      </c>
      <c r="D374" t="s">
        <v>0</v>
      </c>
      <c r="E374" t="s">
        <v>126</v>
      </c>
      <c r="F374" s="2" t="s">
        <v>766</v>
      </c>
    </row>
    <row r="375" spans="1:6">
      <c r="A375">
        <f>SUM(C373:C375)</f>
        <v>-45.9</v>
      </c>
      <c r="B375" s="4">
        <v>45956</v>
      </c>
      <c r="C375" s="29">
        <v>-30</v>
      </c>
      <c r="D375" t="s">
        <v>0</v>
      </c>
      <c r="E375" t="s">
        <v>767</v>
      </c>
      <c r="F375" s="2" t="s">
        <v>768</v>
      </c>
    </row>
    <row r="376" spans="1:6">
      <c r="B376" s="4">
        <v>45957</v>
      </c>
      <c r="C376" s="29">
        <v>-3</v>
      </c>
      <c r="D376" t="s">
        <v>0</v>
      </c>
      <c r="E376" t="s">
        <v>769</v>
      </c>
      <c r="F376" s="2" t="s">
        <v>396</v>
      </c>
    </row>
    <row r="377" spans="1:6">
      <c r="A377">
        <f>SUM(C376:C377)</f>
        <v>-15.9</v>
      </c>
      <c r="B377" s="4">
        <v>45957</v>
      </c>
      <c r="C377" s="29">
        <v>-12.9</v>
      </c>
      <c r="D377" t="s">
        <v>0</v>
      </c>
      <c r="E377" t="s">
        <v>771</v>
      </c>
      <c r="F377" s="2" t="s">
        <v>772</v>
      </c>
    </row>
    <row r="378" spans="1:6">
      <c r="B378" s="4">
        <v>45958</v>
      </c>
      <c r="C378" s="29">
        <v>-3</v>
      </c>
      <c r="D378" t="s">
        <v>0</v>
      </c>
      <c r="E378" t="s">
        <v>769</v>
      </c>
      <c r="F378" s="2" t="s">
        <v>396</v>
      </c>
    </row>
    <row r="379" spans="1:6">
      <c r="A379">
        <f>SUM(C378:C379)</f>
        <v>-18.3</v>
      </c>
      <c r="B379" s="4">
        <v>45958</v>
      </c>
      <c r="C379" s="29">
        <v>-15.3</v>
      </c>
      <c r="D379" t="s">
        <v>0</v>
      </c>
      <c r="E379" t="s">
        <v>771</v>
      </c>
      <c r="F379" s="2" t="s">
        <v>772</v>
      </c>
    </row>
    <row r="380" spans="1:6">
      <c r="B380" s="4">
        <v>45959</v>
      </c>
      <c r="C380" s="29">
        <v>-100</v>
      </c>
      <c r="D380" t="s">
        <v>0</v>
      </c>
      <c r="F380" s="2" t="s">
        <v>773</v>
      </c>
    </row>
    <row r="381" spans="1:6">
      <c r="A381">
        <f>SUM(C380:C381)</f>
        <v>-109.38</v>
      </c>
      <c r="B381" s="4">
        <v>45959</v>
      </c>
      <c r="C381" s="29">
        <v>-9.3800000000000008</v>
      </c>
      <c r="D381" t="s">
        <v>0</v>
      </c>
      <c r="E381" t="s">
        <v>774</v>
      </c>
      <c r="F381" s="2" t="s">
        <v>770</v>
      </c>
    </row>
    <row r="382" spans="1:6">
      <c r="B382" s="4">
        <v>45960</v>
      </c>
      <c r="C382" s="29">
        <v>-3</v>
      </c>
      <c r="D382" t="s">
        <v>0</v>
      </c>
      <c r="E382" t="s">
        <v>769</v>
      </c>
      <c r="F382" s="2" t="s">
        <v>396</v>
      </c>
    </row>
    <row r="383" spans="1:6">
      <c r="A383">
        <f>SUM(C382:C383)</f>
        <v>-18.8</v>
      </c>
      <c r="B383" s="4">
        <v>45960</v>
      </c>
      <c r="C383" s="29">
        <v>-15.8</v>
      </c>
      <c r="D383" t="s">
        <v>0</v>
      </c>
      <c r="E383" t="s">
        <v>774</v>
      </c>
      <c r="F383" s="2" t="s">
        <v>770</v>
      </c>
    </row>
    <row r="384" spans="1:6">
      <c r="B384" s="4">
        <v>45961</v>
      </c>
      <c r="C384" s="29">
        <v>-15.8</v>
      </c>
      <c r="D384" t="s">
        <v>0</v>
      </c>
      <c r="E384" t="s">
        <v>774</v>
      </c>
      <c r="F384" s="2" t="s">
        <v>770</v>
      </c>
    </row>
    <row r="385" spans="1:6">
      <c r="A385">
        <f>SUM(C384:C385)</f>
        <v>-18.3</v>
      </c>
      <c r="B385" s="4">
        <v>45961</v>
      </c>
      <c r="C385" s="29">
        <v>-2.5</v>
      </c>
      <c r="D385" t="s">
        <v>0</v>
      </c>
      <c r="E385" t="s">
        <v>775</v>
      </c>
      <c r="F385" s="2" t="s">
        <v>776</v>
      </c>
    </row>
    <row r="386" spans="1:6">
      <c r="A386">
        <f>SUM(C386)</f>
        <v>-10.9</v>
      </c>
      <c r="B386" s="4">
        <v>45962</v>
      </c>
      <c r="C386" s="29">
        <v>-10.9</v>
      </c>
      <c r="D386" t="s">
        <v>0</v>
      </c>
      <c r="E386" t="s">
        <v>780</v>
      </c>
      <c r="F386" s="2" t="s">
        <v>781</v>
      </c>
    </row>
    <row r="387" spans="1:6">
      <c r="B387" s="4">
        <v>45963</v>
      </c>
      <c r="C387" s="29">
        <v>-451.71</v>
      </c>
      <c r="D387" t="s">
        <v>0</v>
      </c>
      <c r="F387" t="s">
        <v>782</v>
      </c>
    </row>
    <row r="388" spans="1:6">
      <c r="B388" s="4">
        <v>45963</v>
      </c>
      <c r="C388" s="29">
        <v>-30</v>
      </c>
      <c r="D388" t="s">
        <v>0</v>
      </c>
      <c r="F388" t="s">
        <v>822</v>
      </c>
    </row>
    <row r="389" spans="1:6">
      <c r="B389" s="4">
        <v>45963</v>
      </c>
      <c r="C389" s="29">
        <v>-89</v>
      </c>
      <c r="D389" t="s">
        <v>0</v>
      </c>
      <c r="E389" t="s">
        <v>783</v>
      </c>
      <c r="F389" s="2" t="s">
        <v>784</v>
      </c>
    </row>
    <row r="390" spans="1:6">
      <c r="A390">
        <f>SUM(C387:C390)</f>
        <v>-595.51</v>
      </c>
      <c r="B390" s="4">
        <v>45963</v>
      </c>
      <c r="C390" s="29">
        <v>-24.8</v>
      </c>
      <c r="D390" t="s">
        <v>0</v>
      </c>
      <c r="E390" t="s">
        <v>785</v>
      </c>
      <c r="F390" s="2" t="s">
        <v>786</v>
      </c>
    </row>
    <row r="391" spans="1:6">
      <c r="B391" s="4">
        <v>45964</v>
      </c>
      <c r="C391" s="29">
        <v>-2</v>
      </c>
      <c r="D391" t="s">
        <v>0</v>
      </c>
      <c r="E391" t="s">
        <v>787</v>
      </c>
      <c r="F391" s="2" t="s">
        <v>788</v>
      </c>
    </row>
    <row r="392" spans="1:6">
      <c r="A392">
        <f>SUM(C391:C392)</f>
        <v>-12.9</v>
      </c>
      <c r="B392" s="4">
        <v>45964</v>
      </c>
      <c r="C392" s="29">
        <v>-10.9</v>
      </c>
      <c r="D392" t="s">
        <v>0</v>
      </c>
      <c r="E392" t="s">
        <v>789</v>
      </c>
      <c r="F392" s="2" t="s">
        <v>790</v>
      </c>
    </row>
    <row r="393" spans="1:6">
      <c r="B393" s="4">
        <v>45965</v>
      </c>
      <c r="C393" s="29">
        <v>-3</v>
      </c>
      <c r="D393" t="s">
        <v>0</v>
      </c>
      <c r="E393" t="s">
        <v>791</v>
      </c>
      <c r="F393" s="2" t="s">
        <v>792</v>
      </c>
    </row>
    <row r="394" spans="1:6">
      <c r="B394" s="4">
        <v>45965</v>
      </c>
      <c r="C394" s="29">
        <v>-15.3</v>
      </c>
      <c r="D394" t="s">
        <v>793</v>
      </c>
      <c r="E394" t="s">
        <v>794</v>
      </c>
      <c r="F394" s="2" t="s">
        <v>795</v>
      </c>
    </row>
    <row r="395" spans="1:6">
      <c r="A395">
        <f>SUM(C393:C395)</f>
        <v>-36.61</v>
      </c>
      <c r="B395" s="4">
        <v>45965</v>
      </c>
      <c r="C395" s="29">
        <v>-18.309999999999999</v>
      </c>
      <c r="D395" t="s">
        <v>796</v>
      </c>
      <c r="E395" t="s">
        <v>797</v>
      </c>
    </row>
    <row r="396" spans="1:6">
      <c r="B396" s="4">
        <v>45966</v>
      </c>
      <c r="C396" s="29">
        <v>-2</v>
      </c>
      <c r="D396" t="s">
        <v>1</v>
      </c>
      <c r="E396" t="s">
        <v>798</v>
      </c>
      <c r="F396" s="2" t="s">
        <v>799</v>
      </c>
    </row>
    <row r="397" spans="1:6">
      <c r="B397" s="4">
        <v>45966</v>
      </c>
      <c r="C397" s="29">
        <v>-1.5</v>
      </c>
      <c r="D397" t="s">
        <v>0</v>
      </c>
      <c r="E397" t="s">
        <v>800</v>
      </c>
      <c r="F397" s="2" t="s">
        <v>801</v>
      </c>
    </row>
    <row r="398" spans="1:6">
      <c r="A398">
        <f>SUM(C396:C398)</f>
        <v>-11.88</v>
      </c>
      <c r="B398" s="4">
        <v>45966</v>
      </c>
      <c r="C398" s="29">
        <v>-8.3800000000000008</v>
      </c>
      <c r="D398" t="s">
        <v>802</v>
      </c>
      <c r="E398" t="s">
        <v>803</v>
      </c>
      <c r="F398" s="2" t="s">
        <v>804</v>
      </c>
    </row>
    <row r="399" spans="1:6">
      <c r="B399" s="4">
        <v>45967</v>
      </c>
      <c r="C399" s="29">
        <v>-100</v>
      </c>
      <c r="D399" t="s">
        <v>802</v>
      </c>
      <c r="F399" s="2" t="s">
        <v>805</v>
      </c>
    </row>
    <row r="400" spans="1:6">
      <c r="B400" s="4">
        <v>45967</v>
      </c>
      <c r="C400" s="29">
        <v>-3</v>
      </c>
      <c r="D400" t="s">
        <v>802</v>
      </c>
      <c r="E400" t="s">
        <v>806</v>
      </c>
      <c r="F400" s="2" t="s">
        <v>799</v>
      </c>
    </row>
    <row r="401" spans="1:6">
      <c r="A401">
        <f>SUM(C399:C401)</f>
        <v>-118.3</v>
      </c>
      <c r="B401" s="4">
        <v>45967</v>
      </c>
      <c r="C401" s="29">
        <v>-15.3</v>
      </c>
      <c r="D401" t="s">
        <v>807</v>
      </c>
      <c r="E401" t="s">
        <v>808</v>
      </c>
      <c r="F401" s="2" t="s">
        <v>804</v>
      </c>
    </row>
    <row r="402" spans="1:6">
      <c r="B402" s="4">
        <v>45968</v>
      </c>
      <c r="C402" s="29">
        <v>-3</v>
      </c>
      <c r="D402" t="s">
        <v>802</v>
      </c>
      <c r="E402" t="s">
        <v>809</v>
      </c>
      <c r="F402" s="2" t="s">
        <v>810</v>
      </c>
    </row>
    <row r="403" spans="1:6">
      <c r="A403">
        <f>SUM(C402:C403)</f>
        <v>-20.3</v>
      </c>
      <c r="B403" s="4">
        <v>45968</v>
      </c>
      <c r="C403" s="29">
        <v>-17.3</v>
      </c>
      <c r="D403" t="s">
        <v>802</v>
      </c>
      <c r="E403" t="s">
        <v>811</v>
      </c>
      <c r="F403" s="2" t="s">
        <v>804</v>
      </c>
    </row>
    <row r="404" spans="1:6">
      <c r="B404" s="4">
        <v>45969</v>
      </c>
      <c r="C404" s="29">
        <v>-10.9</v>
      </c>
      <c r="D404" t="s">
        <v>812</v>
      </c>
      <c r="E404" t="s">
        <v>813</v>
      </c>
      <c r="F404" s="2" t="s">
        <v>804</v>
      </c>
    </row>
    <row r="405" spans="1:6">
      <c r="B405" s="4">
        <v>45969</v>
      </c>
      <c r="C405" s="29">
        <v>-30</v>
      </c>
      <c r="D405" t="s">
        <v>802</v>
      </c>
      <c r="F405" s="2" t="s">
        <v>814</v>
      </c>
    </row>
    <row r="406" spans="1:6">
      <c r="B406" s="4">
        <v>45969</v>
      </c>
      <c r="C406" s="29">
        <v>-39</v>
      </c>
      <c r="D406" t="s">
        <v>599</v>
      </c>
      <c r="F406" s="2" t="s">
        <v>821</v>
      </c>
    </row>
    <row r="407" spans="1:6">
      <c r="B407" s="4">
        <v>45969</v>
      </c>
      <c r="C407" s="29">
        <v>-118</v>
      </c>
      <c r="D407" t="s">
        <v>802</v>
      </c>
      <c r="E407" t="s">
        <v>803</v>
      </c>
      <c r="F407" s="2" t="s">
        <v>815</v>
      </c>
    </row>
    <row r="408" spans="1:6">
      <c r="A408">
        <f>SUM(C404:C408)</f>
        <v>-203.9</v>
      </c>
      <c r="B408" s="4">
        <v>45969</v>
      </c>
      <c r="C408" s="29">
        <v>-6</v>
      </c>
      <c r="D408" t="s">
        <v>802</v>
      </c>
      <c r="E408" t="s">
        <v>126</v>
      </c>
      <c r="F408" s="2" t="s">
        <v>816</v>
      </c>
    </row>
    <row r="409" spans="1:6">
      <c r="B409" s="4">
        <v>45970</v>
      </c>
      <c r="C409" s="29">
        <v>-9.3800000000000008</v>
      </c>
      <c r="D409" t="s">
        <v>802</v>
      </c>
      <c r="E409" t="s">
        <v>813</v>
      </c>
      <c r="F409" s="2" t="s">
        <v>817</v>
      </c>
    </row>
    <row r="410" spans="1:6">
      <c r="A410">
        <f>SUM(C409:C410)</f>
        <v>-27.18</v>
      </c>
      <c r="B410" s="4">
        <v>45970</v>
      </c>
      <c r="C410" s="29">
        <v>-17.8</v>
      </c>
      <c r="D410" t="s">
        <v>802</v>
      </c>
      <c r="E410" t="s">
        <v>803</v>
      </c>
      <c r="F410" s="2" t="s">
        <v>818</v>
      </c>
    </row>
    <row r="411" spans="1:6">
      <c r="B411" s="4">
        <v>45971</v>
      </c>
      <c r="C411" s="29">
        <v>-3</v>
      </c>
      <c r="D411" t="s">
        <v>0</v>
      </c>
      <c r="E411" t="s">
        <v>828</v>
      </c>
      <c r="F411" t="s">
        <v>828</v>
      </c>
    </row>
    <row r="412" spans="1:6">
      <c r="B412" s="4">
        <v>45971</v>
      </c>
      <c r="C412" s="29">
        <v>-16.3</v>
      </c>
      <c r="D412" t="s">
        <v>0</v>
      </c>
      <c r="E412" t="s">
        <v>836</v>
      </c>
      <c r="F412" s="2" t="s">
        <v>835</v>
      </c>
    </row>
    <row r="413" spans="1:6">
      <c r="B413" s="4">
        <v>45971</v>
      </c>
      <c r="C413" s="29">
        <v>-31.4</v>
      </c>
      <c r="D413" t="s">
        <v>0</v>
      </c>
      <c r="E413" t="s">
        <v>126</v>
      </c>
      <c r="F413" s="2" t="s">
        <v>832</v>
      </c>
    </row>
    <row r="414" spans="1:6">
      <c r="B414" s="4">
        <v>45972</v>
      </c>
      <c r="C414" s="29">
        <v>-1.5</v>
      </c>
      <c r="D414" t="s">
        <v>0</v>
      </c>
      <c r="E414" t="s">
        <v>833</v>
      </c>
      <c r="F414" s="2" t="s">
        <v>833</v>
      </c>
    </row>
    <row r="415" spans="1:6">
      <c r="B415" s="4">
        <v>45972</v>
      </c>
      <c r="C415" s="29">
        <v>-2</v>
      </c>
      <c r="D415" t="s">
        <v>0</v>
      </c>
      <c r="E415" t="s">
        <v>828</v>
      </c>
      <c r="F415" s="2" t="s">
        <v>828</v>
      </c>
    </row>
    <row r="416" spans="1:6">
      <c r="B416" s="4">
        <v>45973</v>
      </c>
      <c r="C416" s="29">
        <v>-3</v>
      </c>
      <c r="D416" t="s">
        <v>0</v>
      </c>
      <c r="E416" t="s">
        <v>828</v>
      </c>
      <c r="F416" s="2" t="s">
        <v>828</v>
      </c>
    </row>
    <row r="417" spans="2:6">
      <c r="B417" s="4">
        <v>45973</v>
      </c>
      <c r="C417" s="29">
        <v>-15.3</v>
      </c>
      <c r="D417" t="s">
        <v>0</v>
      </c>
      <c r="E417" t="s">
        <v>834</v>
      </c>
      <c r="F417" s="2" t="s">
        <v>835</v>
      </c>
    </row>
    <row r="418" spans="2:6">
      <c r="B418" s="4">
        <v>45973</v>
      </c>
      <c r="C418" s="29">
        <v>-24.3</v>
      </c>
      <c r="D418" t="s">
        <v>0</v>
      </c>
      <c r="E418" t="s">
        <v>837</v>
      </c>
      <c r="F418" s="2" t="s">
        <v>835</v>
      </c>
    </row>
    <row r="419" spans="2:6">
      <c r="B419" s="4">
        <v>45974</v>
      </c>
      <c r="C419">
        <v>-10.9</v>
      </c>
      <c r="D419" t="s">
        <v>0</v>
      </c>
      <c r="E419" t="s">
        <v>836</v>
      </c>
      <c r="F419" t="s">
        <v>838</v>
      </c>
    </row>
    <row r="420" spans="2:6">
      <c r="B420" s="4">
        <v>45974</v>
      </c>
      <c r="C420" s="29">
        <v>-1.5</v>
      </c>
      <c r="D420" t="s">
        <v>0</v>
      </c>
      <c r="E420" t="s">
        <v>828</v>
      </c>
      <c r="F420" s="2" t="s">
        <v>828</v>
      </c>
    </row>
    <row r="421" spans="2:6">
      <c r="B421" s="4">
        <v>45974</v>
      </c>
      <c r="C421">
        <v>-1.5</v>
      </c>
      <c r="D421" t="s">
        <v>0</v>
      </c>
      <c r="E421" t="s">
        <v>828</v>
      </c>
      <c r="F421" s="2" t="s">
        <v>828</v>
      </c>
    </row>
    <row r="422" spans="2:6">
      <c r="B422" s="4">
        <v>45974</v>
      </c>
      <c r="C422">
        <v>-12.16</v>
      </c>
      <c r="D422" t="s">
        <v>1</v>
      </c>
      <c r="E422" t="s">
        <v>823</v>
      </c>
      <c r="F422" t="s">
        <v>824</v>
      </c>
    </row>
    <row r="423" spans="2:6">
      <c r="B423" s="4">
        <v>45974</v>
      </c>
      <c r="C423">
        <v>-100</v>
      </c>
      <c r="D423" t="s">
        <v>1</v>
      </c>
      <c r="F423" t="s">
        <v>825</v>
      </c>
    </row>
    <row r="424" spans="2:6">
      <c r="B424" s="4">
        <v>45975</v>
      </c>
      <c r="C424">
        <v>-3</v>
      </c>
      <c r="D424" t="s">
        <v>0</v>
      </c>
      <c r="E424" t="s">
        <v>828</v>
      </c>
      <c r="F424" s="2" t="s">
        <v>828</v>
      </c>
    </row>
    <row r="425" spans="2:6">
      <c r="B425" s="4">
        <v>45975</v>
      </c>
      <c r="C425">
        <v>-12.29</v>
      </c>
      <c r="D425" t="s">
        <v>0</v>
      </c>
      <c r="E425" t="s">
        <v>839</v>
      </c>
      <c r="F425" t="s">
        <v>835</v>
      </c>
    </row>
    <row r="426" spans="2:6">
      <c r="B426" s="4">
        <v>45976</v>
      </c>
      <c r="C426">
        <v>-10.9</v>
      </c>
      <c r="D426" t="s">
        <v>0</v>
      </c>
      <c r="E426" t="s">
        <v>840</v>
      </c>
      <c r="F426" t="s">
        <v>841</v>
      </c>
    </row>
    <row r="427" spans="2:6">
      <c r="B427" s="4">
        <v>45976</v>
      </c>
      <c r="C427">
        <v>-97</v>
      </c>
      <c r="D427" t="s">
        <v>0</v>
      </c>
      <c r="F427" t="s">
        <v>848</v>
      </c>
    </row>
    <row r="428" spans="2:6">
      <c r="B428" s="4">
        <v>45976</v>
      </c>
      <c r="C428" s="29">
        <v>-134.4</v>
      </c>
      <c r="D428" t="s">
        <v>1</v>
      </c>
      <c r="F428" s="2" t="s">
        <v>850</v>
      </c>
    </row>
    <row r="429" spans="2:6">
      <c r="B429" s="4">
        <v>45976</v>
      </c>
      <c r="C429">
        <v>-18.3</v>
      </c>
      <c r="D429" t="s">
        <v>1</v>
      </c>
      <c r="E429" t="s">
        <v>826</v>
      </c>
      <c r="F429" t="s">
        <v>827</v>
      </c>
    </row>
    <row r="430" spans="2:6">
      <c r="B430" s="4">
        <v>45977</v>
      </c>
      <c r="C430">
        <v>-15</v>
      </c>
      <c r="D430" t="s">
        <v>0</v>
      </c>
      <c r="E430" t="s">
        <v>845</v>
      </c>
      <c r="F430" t="s">
        <v>846</v>
      </c>
    </row>
    <row r="431" spans="2:6">
      <c r="B431" s="4">
        <v>45977</v>
      </c>
      <c r="C431">
        <v>-15</v>
      </c>
      <c r="D431" t="s">
        <v>0</v>
      </c>
      <c r="E431" t="s">
        <v>843</v>
      </c>
      <c r="F431" t="s">
        <v>844</v>
      </c>
    </row>
    <row r="432" spans="2:6">
      <c r="B432" s="4">
        <v>45977</v>
      </c>
      <c r="C432">
        <v>-10.9</v>
      </c>
      <c r="D432" t="s">
        <v>0</v>
      </c>
      <c r="E432" t="s">
        <v>842</v>
      </c>
      <c r="F432" t="s">
        <v>835</v>
      </c>
    </row>
    <row r="433" spans="1:6">
      <c r="B433" s="4">
        <v>45977</v>
      </c>
      <c r="C433">
        <v>-17.8</v>
      </c>
      <c r="D433" t="s">
        <v>501</v>
      </c>
      <c r="F433" t="s">
        <v>831</v>
      </c>
    </row>
    <row r="434" spans="1:6">
      <c r="B434" s="4">
        <v>45977</v>
      </c>
      <c r="C434">
        <v>-3</v>
      </c>
      <c r="D434" t="s">
        <v>1</v>
      </c>
      <c r="E434" t="s">
        <v>849</v>
      </c>
    </row>
    <row r="435" spans="1:6">
      <c r="B435" s="4">
        <v>45978</v>
      </c>
      <c r="C435">
        <v>-3</v>
      </c>
      <c r="D435" t="s">
        <v>1</v>
      </c>
      <c r="E435" t="s">
        <v>828</v>
      </c>
      <c r="F435" t="s">
        <v>829</v>
      </c>
    </row>
    <row r="436" spans="1:6">
      <c r="B436" s="4">
        <v>45978</v>
      </c>
      <c r="C436">
        <v>-3.99</v>
      </c>
      <c r="D436" t="s">
        <v>1</v>
      </c>
      <c r="E436" t="s">
        <v>830</v>
      </c>
      <c r="F436" t="s">
        <v>830</v>
      </c>
    </row>
    <row r="437" spans="1:6">
      <c r="A437">
        <f>SUM(C411:C437)</f>
        <v>-578.33999999999992</v>
      </c>
      <c r="B437" s="4">
        <v>45978</v>
      </c>
      <c r="C437">
        <v>-10.9</v>
      </c>
      <c r="D437" t="s">
        <v>0</v>
      </c>
      <c r="E437" t="s">
        <v>847</v>
      </c>
      <c r="F437" t="s">
        <v>835</v>
      </c>
    </row>
    <row r="438" spans="1:6">
      <c r="B438" s="4">
        <v>45979</v>
      </c>
      <c r="C438">
        <v>-0.99</v>
      </c>
      <c r="D438" t="s">
        <v>1</v>
      </c>
      <c r="E438" t="s">
        <v>830</v>
      </c>
      <c r="F438" t="s">
        <v>830</v>
      </c>
    </row>
    <row r="439" spans="1:6">
      <c r="B439" s="4">
        <v>45979</v>
      </c>
      <c r="C439">
        <v>-0.99</v>
      </c>
      <c r="D439" t="s">
        <v>1</v>
      </c>
      <c r="E439" t="s">
        <v>830</v>
      </c>
      <c r="F439" t="s">
        <v>830</v>
      </c>
    </row>
    <row r="440" spans="1:6">
      <c r="B440" s="4">
        <v>45979</v>
      </c>
      <c r="C440">
        <v>-0.99</v>
      </c>
      <c r="D440" t="s">
        <v>1</v>
      </c>
      <c r="E440" t="s">
        <v>830</v>
      </c>
      <c r="F440" t="s">
        <v>830</v>
      </c>
    </row>
    <row r="441" spans="1:6">
      <c r="B441" s="4">
        <v>45979</v>
      </c>
      <c r="C441">
        <v>-4</v>
      </c>
      <c r="D441" t="s">
        <v>0</v>
      </c>
      <c r="E441" t="s">
        <v>741</v>
      </c>
      <c r="F441" t="s">
        <v>681</v>
      </c>
    </row>
    <row r="442" spans="1:6">
      <c r="B442" s="4">
        <v>45979</v>
      </c>
      <c r="C442">
        <v>-15.3</v>
      </c>
      <c r="D442" t="s">
        <v>0</v>
      </c>
      <c r="E442" t="s">
        <v>659</v>
      </c>
      <c r="F442" t="s">
        <v>835</v>
      </c>
    </row>
    <row r="443" spans="1:6">
      <c r="B443" s="4">
        <v>45979</v>
      </c>
      <c r="C443">
        <v>-39.9</v>
      </c>
      <c r="D443" t="s">
        <v>0</v>
      </c>
      <c r="F443" t="s">
        <v>852</v>
      </c>
    </row>
    <row r="444" spans="1:6">
      <c r="B444" s="4">
        <v>45980</v>
      </c>
      <c r="C444">
        <v>-0.99</v>
      </c>
      <c r="D444" t="s">
        <v>1</v>
      </c>
      <c r="E444" t="s">
        <v>830</v>
      </c>
      <c r="F444" t="s">
        <v>830</v>
      </c>
    </row>
    <row r="445" spans="1:6">
      <c r="B445" s="4">
        <v>45980</v>
      </c>
      <c r="C445">
        <v>-1.5</v>
      </c>
      <c r="D445" t="s">
        <v>0</v>
      </c>
      <c r="E445" t="s">
        <v>830</v>
      </c>
      <c r="F445" t="s">
        <v>830</v>
      </c>
    </row>
    <row r="446" spans="1:6">
      <c r="B446" s="4">
        <v>45980</v>
      </c>
      <c r="C446">
        <v>-1</v>
      </c>
      <c r="D446" t="s">
        <v>0</v>
      </c>
      <c r="E446" t="s">
        <v>741</v>
      </c>
      <c r="F446" t="s">
        <v>681</v>
      </c>
    </row>
    <row r="447" spans="1:6">
      <c r="B447" s="4">
        <v>45980</v>
      </c>
      <c r="C447">
        <v>-15.3</v>
      </c>
      <c r="D447" t="s">
        <v>0</v>
      </c>
      <c r="E447" t="s">
        <v>659</v>
      </c>
      <c r="F447" t="s">
        <v>835</v>
      </c>
    </row>
    <row r="448" spans="1:6">
      <c r="B448" s="4">
        <v>45980</v>
      </c>
      <c r="C448">
        <v>-11.3</v>
      </c>
      <c r="D448" t="s">
        <v>0</v>
      </c>
      <c r="F448" t="s">
        <v>853</v>
      </c>
    </row>
    <row r="449" spans="1:6">
      <c r="B449" s="4">
        <v>45981</v>
      </c>
      <c r="C449">
        <v>-0.99</v>
      </c>
      <c r="D449" t="s">
        <v>1</v>
      </c>
      <c r="E449" t="s">
        <v>830</v>
      </c>
      <c r="F449" t="s">
        <v>830</v>
      </c>
    </row>
    <row r="450" spans="1:6">
      <c r="B450" s="4">
        <v>45981</v>
      </c>
      <c r="C450">
        <v>-0.99</v>
      </c>
      <c r="D450" t="s">
        <v>1</v>
      </c>
      <c r="E450" t="s">
        <v>830</v>
      </c>
      <c r="F450" t="s">
        <v>830</v>
      </c>
    </row>
    <row r="451" spans="1:6">
      <c r="B451" s="4">
        <v>45981</v>
      </c>
      <c r="C451">
        <v>-21.7</v>
      </c>
      <c r="D451" t="s">
        <v>1</v>
      </c>
      <c r="E451" t="s">
        <v>851</v>
      </c>
      <c r="F451" t="s">
        <v>851</v>
      </c>
    </row>
    <row r="452" spans="1:6">
      <c r="B452" s="4">
        <v>45981</v>
      </c>
      <c r="C452">
        <v>-3</v>
      </c>
      <c r="D452" t="s">
        <v>0</v>
      </c>
      <c r="E452" t="s">
        <v>741</v>
      </c>
      <c r="F452" t="s">
        <v>681</v>
      </c>
    </row>
    <row r="453" spans="1:6">
      <c r="B453" s="4">
        <v>45981</v>
      </c>
      <c r="C453">
        <v>-16.899999999999999</v>
      </c>
      <c r="D453" t="s">
        <v>0</v>
      </c>
      <c r="E453" t="s">
        <v>659</v>
      </c>
      <c r="F453" t="s">
        <v>835</v>
      </c>
    </row>
    <row r="454" spans="1:6">
      <c r="B454" s="4">
        <v>45982</v>
      </c>
      <c r="C454">
        <v>-15.3</v>
      </c>
      <c r="D454" t="s">
        <v>0</v>
      </c>
      <c r="E454" t="s">
        <v>659</v>
      </c>
      <c r="F454" t="s">
        <v>835</v>
      </c>
    </row>
    <row r="455" spans="1:6">
      <c r="B455" s="4">
        <v>45982</v>
      </c>
      <c r="C455">
        <v>-1</v>
      </c>
      <c r="D455" t="s">
        <v>0</v>
      </c>
      <c r="E455" t="s">
        <v>741</v>
      </c>
      <c r="F455" t="s">
        <v>681</v>
      </c>
    </row>
    <row r="456" spans="1:6">
      <c r="B456" s="4">
        <v>45982</v>
      </c>
      <c r="C456">
        <v>-0.99</v>
      </c>
      <c r="D456" t="s">
        <v>1</v>
      </c>
      <c r="E456" t="s">
        <v>830</v>
      </c>
      <c r="F456" t="s">
        <v>830</v>
      </c>
    </row>
    <row r="457" spans="1:6">
      <c r="B457" s="4">
        <v>45982</v>
      </c>
      <c r="C457">
        <v>-0.99</v>
      </c>
      <c r="D457" t="s">
        <v>1</v>
      </c>
      <c r="E457" t="s">
        <v>830</v>
      </c>
      <c r="F457" t="s">
        <v>830</v>
      </c>
    </row>
    <row r="458" spans="1:6">
      <c r="A458">
        <f>SUM(C438:C458)</f>
        <v>-165.02</v>
      </c>
      <c r="B458" s="4">
        <v>45983</v>
      </c>
      <c r="C458">
        <v>-10.9</v>
      </c>
      <c r="D458" t="s">
        <v>0</v>
      </c>
      <c r="E458" t="s">
        <v>854</v>
      </c>
      <c r="F458" t="s">
        <v>657</v>
      </c>
    </row>
    <row r="459" spans="1:6">
      <c r="B459" s="4">
        <v>45984</v>
      </c>
      <c r="C459">
        <v>-0.99</v>
      </c>
      <c r="D459" t="s">
        <v>1</v>
      </c>
      <c r="E459" t="s">
        <v>830</v>
      </c>
      <c r="F459" t="s">
        <v>830</v>
      </c>
    </row>
    <row r="460" spans="1:6">
      <c r="B460" s="4">
        <v>45984</v>
      </c>
      <c r="C460">
        <v>-3.86</v>
      </c>
      <c r="D460" t="s">
        <v>0</v>
      </c>
      <c r="F460" t="s">
        <v>857</v>
      </c>
    </row>
    <row r="461" spans="1:6">
      <c r="B461" s="4">
        <v>45984</v>
      </c>
      <c r="C461">
        <v>-27</v>
      </c>
      <c r="D461" t="s">
        <v>858</v>
      </c>
      <c r="E461" t="s">
        <v>859</v>
      </c>
      <c r="F461" t="s">
        <v>860</v>
      </c>
    </row>
    <row r="462" spans="1:6">
      <c r="B462" s="4">
        <v>45984</v>
      </c>
      <c r="C462">
        <v>-9.59</v>
      </c>
      <c r="D462" t="s">
        <v>758</v>
      </c>
      <c r="E462" t="s">
        <v>889</v>
      </c>
    </row>
    <row r="463" spans="1:6">
      <c r="B463" s="4">
        <v>45985</v>
      </c>
      <c r="C463">
        <v>-850</v>
      </c>
      <c r="D463" t="s">
        <v>858</v>
      </c>
      <c r="F463" t="s">
        <v>861</v>
      </c>
    </row>
    <row r="464" spans="1:6">
      <c r="B464" s="4">
        <v>45985</v>
      </c>
      <c r="C464">
        <v>-15.3</v>
      </c>
      <c r="D464" t="s">
        <v>858</v>
      </c>
      <c r="E464" t="s">
        <v>862</v>
      </c>
      <c r="F464" t="s">
        <v>863</v>
      </c>
    </row>
    <row r="465" spans="2:6">
      <c r="B465" s="4">
        <v>45985</v>
      </c>
      <c r="C465">
        <v>-0.99</v>
      </c>
      <c r="D465" t="s">
        <v>1</v>
      </c>
      <c r="E465" t="s">
        <v>830</v>
      </c>
      <c r="F465" t="s">
        <v>830</v>
      </c>
    </row>
    <row r="466" spans="2:6">
      <c r="B466" s="4">
        <v>45986</v>
      </c>
      <c r="C466">
        <v>-1</v>
      </c>
      <c r="D466" t="s">
        <v>864</v>
      </c>
      <c r="E466" t="s">
        <v>865</v>
      </c>
      <c r="F466" t="s">
        <v>866</v>
      </c>
    </row>
    <row r="467" spans="2:6">
      <c r="B467" s="4">
        <v>45986</v>
      </c>
      <c r="C467">
        <v>-15.3</v>
      </c>
      <c r="D467" t="s">
        <v>867</v>
      </c>
      <c r="E467" t="s">
        <v>862</v>
      </c>
      <c r="F467" t="s">
        <v>863</v>
      </c>
    </row>
    <row r="468" spans="2:6">
      <c r="B468" s="4">
        <v>45986</v>
      </c>
      <c r="C468">
        <v>-1.5</v>
      </c>
      <c r="D468" t="s">
        <v>868</v>
      </c>
      <c r="E468" t="s">
        <v>869</v>
      </c>
      <c r="F468" t="s">
        <v>870</v>
      </c>
    </row>
    <row r="469" spans="2:6">
      <c r="B469" s="4">
        <v>45986</v>
      </c>
      <c r="C469">
        <v>-0.99</v>
      </c>
      <c r="D469" t="s">
        <v>1</v>
      </c>
      <c r="E469" t="s">
        <v>830</v>
      </c>
      <c r="F469" t="s">
        <v>830</v>
      </c>
    </row>
    <row r="470" spans="2:6">
      <c r="B470" s="4">
        <v>45986</v>
      </c>
      <c r="C470">
        <v>-0.99</v>
      </c>
      <c r="D470" t="s">
        <v>1</v>
      </c>
      <c r="E470" t="s">
        <v>830</v>
      </c>
      <c r="F470" t="s">
        <v>830</v>
      </c>
    </row>
    <row r="471" spans="2:6">
      <c r="B471" s="4">
        <v>45987</v>
      </c>
      <c r="C471">
        <v>-1</v>
      </c>
      <c r="D471" t="s">
        <v>858</v>
      </c>
      <c r="E471" t="s">
        <v>871</v>
      </c>
      <c r="F471" t="s">
        <v>872</v>
      </c>
    </row>
    <row r="472" spans="2:6">
      <c r="B472" s="4">
        <v>45987</v>
      </c>
      <c r="C472">
        <v>-15.3</v>
      </c>
      <c r="D472" t="s">
        <v>858</v>
      </c>
      <c r="E472" t="s">
        <v>862</v>
      </c>
      <c r="F472" t="s">
        <v>873</v>
      </c>
    </row>
    <row r="473" spans="2:6">
      <c r="B473" s="4">
        <v>45987</v>
      </c>
      <c r="C473">
        <v>-1.5</v>
      </c>
      <c r="D473" t="s">
        <v>874</v>
      </c>
      <c r="E473" t="s">
        <v>830</v>
      </c>
      <c r="F473" t="s">
        <v>830</v>
      </c>
    </row>
    <row r="474" spans="2:6">
      <c r="B474" s="4">
        <v>45987</v>
      </c>
      <c r="C474">
        <v>-0.99</v>
      </c>
      <c r="D474" t="s">
        <v>1</v>
      </c>
      <c r="E474" t="s">
        <v>830</v>
      </c>
      <c r="F474" t="s">
        <v>830</v>
      </c>
    </row>
    <row r="475" spans="2:6">
      <c r="B475" s="4">
        <v>45987</v>
      </c>
      <c r="C475">
        <v>-100</v>
      </c>
      <c r="D475" t="s">
        <v>1</v>
      </c>
      <c r="F475" s="2" t="s">
        <v>805</v>
      </c>
    </row>
    <row r="476" spans="2:6">
      <c r="B476" s="4">
        <v>45988</v>
      </c>
      <c r="C476">
        <v>-1.0900000000000001</v>
      </c>
      <c r="D476" t="s">
        <v>875</v>
      </c>
      <c r="E476" t="s">
        <v>86</v>
      </c>
      <c r="F476" t="s">
        <v>869</v>
      </c>
    </row>
    <row r="477" spans="2:6">
      <c r="B477" s="4">
        <v>45988</v>
      </c>
      <c r="C477">
        <v>-1</v>
      </c>
      <c r="D477" t="s">
        <v>876</v>
      </c>
      <c r="E477" t="s">
        <v>877</v>
      </c>
    </row>
    <row r="478" spans="2:6">
      <c r="B478" s="4">
        <v>45988</v>
      </c>
      <c r="C478">
        <v>-4250</v>
      </c>
      <c r="D478" t="s">
        <v>858</v>
      </c>
      <c r="F478" t="s">
        <v>878</v>
      </c>
    </row>
    <row r="479" spans="2:6">
      <c r="B479" s="4">
        <v>45988</v>
      </c>
      <c r="C479">
        <v>-50</v>
      </c>
      <c r="D479" t="s">
        <v>858</v>
      </c>
      <c r="F479" t="s">
        <v>879</v>
      </c>
    </row>
    <row r="480" spans="2:6">
      <c r="B480" s="4">
        <v>45988</v>
      </c>
      <c r="C480">
        <v>-15.8</v>
      </c>
      <c r="D480" t="s">
        <v>880</v>
      </c>
      <c r="E480" t="s">
        <v>862</v>
      </c>
      <c r="F480" t="s">
        <v>881</v>
      </c>
    </row>
    <row r="481" spans="1:6">
      <c r="B481" s="4">
        <v>45988</v>
      </c>
      <c r="C481">
        <v>-0.99</v>
      </c>
      <c r="D481" t="s">
        <v>858</v>
      </c>
      <c r="E481" t="s">
        <v>869</v>
      </c>
    </row>
    <row r="482" spans="1:6">
      <c r="B482" s="4">
        <v>45988</v>
      </c>
      <c r="C482">
        <v>-850</v>
      </c>
      <c r="D482" t="s">
        <v>1</v>
      </c>
      <c r="F482" s="2" t="s">
        <v>855</v>
      </c>
    </row>
    <row r="483" spans="1:6">
      <c r="B483" s="4">
        <v>45989</v>
      </c>
      <c r="C483">
        <v>-35.880000000000003</v>
      </c>
      <c r="D483" t="s">
        <v>508</v>
      </c>
      <c r="F483" t="s">
        <v>892</v>
      </c>
    </row>
    <row r="484" spans="1:6">
      <c r="B484" s="4">
        <v>45989</v>
      </c>
      <c r="C484">
        <v>-11.57</v>
      </c>
      <c r="D484" t="s">
        <v>882</v>
      </c>
      <c r="F484" t="s">
        <v>883</v>
      </c>
    </row>
    <row r="485" spans="1:6">
      <c r="B485" s="4">
        <v>45989</v>
      </c>
      <c r="C485">
        <v>-0.99</v>
      </c>
      <c r="D485" t="s">
        <v>875</v>
      </c>
      <c r="E485" t="s">
        <v>869</v>
      </c>
    </row>
    <row r="486" spans="1:6">
      <c r="B486" s="4">
        <v>45989</v>
      </c>
      <c r="C486">
        <v>-1</v>
      </c>
      <c r="D486" t="s">
        <v>858</v>
      </c>
      <c r="E486" t="s">
        <v>871</v>
      </c>
    </row>
    <row r="487" spans="1:6">
      <c r="B487" s="4">
        <v>45989</v>
      </c>
      <c r="C487">
        <v>-15.3</v>
      </c>
      <c r="D487" t="s">
        <v>858</v>
      </c>
      <c r="E487" t="s">
        <v>862</v>
      </c>
      <c r="F487" t="s">
        <v>881</v>
      </c>
    </row>
    <row r="488" spans="1:6">
      <c r="B488" s="4">
        <v>45989</v>
      </c>
      <c r="C488">
        <v>-0.99</v>
      </c>
      <c r="D488" t="s">
        <v>884</v>
      </c>
      <c r="E488" t="s">
        <v>869</v>
      </c>
    </row>
    <row r="489" spans="1:6">
      <c r="A489">
        <f>SUM(C459:C489)</f>
        <v>-6429.4599999999991</v>
      </c>
      <c r="B489" s="4">
        <v>45989</v>
      </c>
      <c r="C489">
        <v>-148.55000000000001</v>
      </c>
      <c r="D489" t="s">
        <v>1</v>
      </c>
      <c r="F489" t="s">
        <v>856</v>
      </c>
    </row>
    <row r="490" spans="1:6">
      <c r="B490" s="4">
        <v>45990</v>
      </c>
      <c r="C490">
        <v>-0.99</v>
      </c>
      <c r="D490" t="s">
        <v>1</v>
      </c>
      <c r="E490" t="s">
        <v>893</v>
      </c>
    </row>
    <row r="491" spans="1:6">
      <c r="B491" s="4">
        <v>45990</v>
      </c>
      <c r="C491">
        <v>-39</v>
      </c>
      <c r="D491" t="s">
        <v>1</v>
      </c>
      <c r="E491" t="s">
        <v>894</v>
      </c>
      <c r="F491" t="s">
        <v>895</v>
      </c>
    </row>
    <row r="492" spans="1:6">
      <c r="B492" s="4">
        <v>45990</v>
      </c>
      <c r="C492">
        <v>-2.5099999999999998</v>
      </c>
      <c r="D492" t="s">
        <v>896</v>
      </c>
      <c r="E492" t="s">
        <v>126</v>
      </c>
      <c r="F492" t="s">
        <v>897</v>
      </c>
    </row>
    <row r="493" spans="1:6">
      <c r="B493" s="4">
        <v>45990</v>
      </c>
      <c r="C493">
        <v>-0.99</v>
      </c>
      <c r="D493" t="s">
        <v>896</v>
      </c>
      <c r="E493" t="s">
        <v>898</v>
      </c>
    </row>
    <row r="494" spans="1:6">
      <c r="B494" s="4">
        <v>45990</v>
      </c>
      <c r="C494">
        <v>-10.9</v>
      </c>
      <c r="D494" t="s">
        <v>906</v>
      </c>
      <c r="E494" t="s">
        <v>907</v>
      </c>
    </row>
    <row r="495" spans="1:6">
      <c r="B495" s="4">
        <v>45990</v>
      </c>
      <c r="C495">
        <v>-0.99</v>
      </c>
      <c r="D495" t="s">
        <v>908</v>
      </c>
      <c r="E495" t="s">
        <v>165</v>
      </c>
    </row>
    <row r="496" spans="1:6">
      <c r="B496" s="4">
        <v>45990</v>
      </c>
      <c r="C496">
        <v>-28</v>
      </c>
      <c r="D496" t="s">
        <v>906</v>
      </c>
      <c r="E496" t="s">
        <v>126</v>
      </c>
    </row>
    <row r="497" spans="2:6">
      <c r="B497" s="4">
        <v>45990</v>
      </c>
      <c r="C497">
        <v>-10.5</v>
      </c>
      <c r="D497" t="s">
        <v>909</v>
      </c>
      <c r="F497" t="s">
        <v>910</v>
      </c>
    </row>
    <row r="498" spans="2:6">
      <c r="B498" s="4">
        <v>45990</v>
      </c>
      <c r="C498">
        <v>-28.3</v>
      </c>
      <c r="D498" t="s">
        <v>906</v>
      </c>
      <c r="F498" t="s">
        <v>911</v>
      </c>
    </row>
    <row r="499" spans="2:6">
      <c r="B499" s="4">
        <v>45990</v>
      </c>
      <c r="C499">
        <v>-27.86</v>
      </c>
      <c r="D499" t="s">
        <v>906</v>
      </c>
      <c r="F499" t="s">
        <v>922</v>
      </c>
    </row>
    <row r="500" spans="2:6">
      <c r="B500" s="4">
        <v>45991</v>
      </c>
      <c r="C500">
        <v>-29.8</v>
      </c>
      <c r="D500" t="s">
        <v>912</v>
      </c>
      <c r="E500" t="s">
        <v>907</v>
      </c>
      <c r="F500" t="s">
        <v>913</v>
      </c>
    </row>
    <row r="501" spans="2:6">
      <c r="B501" s="4">
        <v>45991</v>
      </c>
      <c r="C501">
        <v>-15.9</v>
      </c>
      <c r="D501" t="s">
        <v>906</v>
      </c>
      <c r="E501" t="s">
        <v>914</v>
      </c>
      <c r="F501" t="s">
        <v>913</v>
      </c>
    </row>
    <row r="502" spans="2:6">
      <c r="B502" s="4">
        <v>45991</v>
      </c>
      <c r="C502">
        <v>-12.8</v>
      </c>
      <c r="D502" t="s">
        <v>906</v>
      </c>
      <c r="E502" t="s">
        <v>914</v>
      </c>
      <c r="F502" t="s">
        <v>913</v>
      </c>
    </row>
    <row r="503" spans="2:6">
      <c r="B503" s="4">
        <v>45991</v>
      </c>
      <c r="C503">
        <v>-131.43</v>
      </c>
      <c r="D503" t="s">
        <v>908</v>
      </c>
      <c r="F503" t="s">
        <v>923</v>
      </c>
    </row>
    <row r="504" spans="2:6">
      <c r="B504" s="4">
        <v>45992</v>
      </c>
      <c r="C504">
        <v>-31.4</v>
      </c>
      <c r="D504" t="s">
        <v>896</v>
      </c>
      <c r="F504" t="s">
        <v>899</v>
      </c>
    </row>
    <row r="505" spans="2:6">
      <c r="B505" s="4">
        <v>45992</v>
      </c>
      <c r="C505">
        <v>-2.89</v>
      </c>
      <c r="D505" t="s">
        <v>896</v>
      </c>
      <c r="F505" t="s">
        <v>900</v>
      </c>
    </row>
    <row r="506" spans="2:6">
      <c r="B506" s="4">
        <v>45992</v>
      </c>
      <c r="C506">
        <v>-0.99</v>
      </c>
      <c r="D506" t="s">
        <v>896</v>
      </c>
      <c r="E506" t="s">
        <v>901</v>
      </c>
    </row>
    <row r="507" spans="2:6">
      <c r="B507" s="4">
        <v>45992</v>
      </c>
      <c r="C507">
        <v>-9.7100000000000009</v>
      </c>
      <c r="D507" t="s">
        <v>902</v>
      </c>
      <c r="F507" t="s">
        <v>903</v>
      </c>
    </row>
    <row r="508" spans="2:6">
      <c r="B508" s="4">
        <v>45992</v>
      </c>
      <c r="C508">
        <v>-17.86</v>
      </c>
      <c r="D508" t="s">
        <v>915</v>
      </c>
      <c r="F508" t="s">
        <v>916</v>
      </c>
    </row>
    <row r="509" spans="2:6">
      <c r="B509" s="4">
        <v>45992</v>
      </c>
      <c r="C509">
        <v>-2.1</v>
      </c>
      <c r="D509" t="s">
        <v>906</v>
      </c>
      <c r="E509" t="s">
        <v>901</v>
      </c>
    </row>
    <row r="510" spans="2:6">
      <c r="B510" s="4">
        <v>45992</v>
      </c>
      <c r="C510">
        <v>-0.8</v>
      </c>
      <c r="D510" t="s">
        <v>906</v>
      </c>
      <c r="E510" t="s">
        <v>917</v>
      </c>
    </row>
    <row r="511" spans="2:6">
      <c r="B511" s="4">
        <v>45992</v>
      </c>
      <c r="C511">
        <v>-1</v>
      </c>
      <c r="D511" t="s">
        <v>906</v>
      </c>
      <c r="E511" t="s">
        <v>918</v>
      </c>
    </row>
    <row r="512" spans="2:6">
      <c r="B512" s="4">
        <v>45992</v>
      </c>
      <c r="C512">
        <v>-17</v>
      </c>
      <c r="D512" t="s">
        <v>906</v>
      </c>
      <c r="E512" t="s">
        <v>894</v>
      </c>
      <c r="F512" t="s">
        <v>913</v>
      </c>
    </row>
    <row r="513" spans="1:6">
      <c r="B513" s="4">
        <v>45992</v>
      </c>
      <c r="C513">
        <v>-500</v>
      </c>
      <c r="D513" t="s">
        <v>906</v>
      </c>
      <c r="F513" t="s">
        <v>919</v>
      </c>
    </row>
    <row r="514" spans="1:6">
      <c r="B514" s="4">
        <v>45993</v>
      </c>
      <c r="C514">
        <v>-6.9</v>
      </c>
      <c r="D514" t="s">
        <v>896</v>
      </c>
      <c r="E514" t="s">
        <v>898</v>
      </c>
    </row>
    <row r="515" spans="1:6">
      <c r="B515" s="4">
        <v>45993</v>
      </c>
      <c r="C515">
        <v>-0.6</v>
      </c>
      <c r="D515" t="s">
        <v>896</v>
      </c>
      <c r="E515" t="s">
        <v>901</v>
      </c>
    </row>
    <row r="516" spans="1:6">
      <c r="B516" s="4">
        <v>45993</v>
      </c>
      <c r="C516">
        <v>-0.6</v>
      </c>
      <c r="D516" t="s">
        <v>896</v>
      </c>
      <c r="E516" t="s">
        <v>901</v>
      </c>
    </row>
    <row r="517" spans="1:6">
      <c r="B517" s="4">
        <v>45993</v>
      </c>
      <c r="C517">
        <v>-17.5</v>
      </c>
      <c r="D517" t="s">
        <v>904</v>
      </c>
      <c r="E517" t="s">
        <v>905</v>
      </c>
    </row>
    <row r="518" spans="1:6">
      <c r="B518" s="4">
        <v>45993</v>
      </c>
      <c r="C518">
        <v>-3</v>
      </c>
      <c r="D518" t="s">
        <v>915</v>
      </c>
      <c r="E518" t="s">
        <v>920</v>
      </c>
    </row>
    <row r="519" spans="1:6">
      <c r="A519">
        <f>SUM(C490:C519)</f>
        <v>-1376.17</v>
      </c>
      <c r="B519" s="4">
        <v>45993</v>
      </c>
      <c r="C519">
        <v>-423.85</v>
      </c>
      <c r="D519" t="s">
        <v>908</v>
      </c>
      <c r="F519" t="s">
        <v>921</v>
      </c>
    </row>
    <row r="520" spans="1:6">
      <c r="B520" s="4">
        <v>45994</v>
      </c>
      <c r="C520">
        <v>-0.6</v>
      </c>
      <c r="D520" t="s">
        <v>925</v>
      </c>
      <c r="E520" t="s">
        <v>926</v>
      </c>
    </row>
    <row r="521" spans="1:6">
      <c r="B521" s="4">
        <v>45994</v>
      </c>
      <c r="C521">
        <v>-1.8</v>
      </c>
      <c r="D521" t="s">
        <v>929</v>
      </c>
      <c r="E521" t="s">
        <v>926</v>
      </c>
    </row>
    <row r="522" spans="1:6">
      <c r="B522" s="4">
        <v>45994</v>
      </c>
      <c r="C522">
        <v>-1</v>
      </c>
      <c r="D522" t="s">
        <v>930</v>
      </c>
      <c r="E522" t="s">
        <v>931</v>
      </c>
    </row>
    <row r="523" spans="1:6">
      <c r="B523" s="4">
        <v>45995</v>
      </c>
      <c r="C523">
        <v>-0.6</v>
      </c>
      <c r="D523" t="s">
        <v>927</v>
      </c>
      <c r="E523" t="s">
        <v>928</v>
      </c>
    </row>
    <row r="524" spans="1:6">
      <c r="B524" s="4">
        <v>45995</v>
      </c>
      <c r="C524">
        <v>-0.6</v>
      </c>
      <c r="D524" t="s">
        <v>927</v>
      </c>
      <c r="E524" t="s">
        <v>928</v>
      </c>
    </row>
    <row r="525" spans="1:6">
      <c r="B525" s="4">
        <v>45995</v>
      </c>
      <c r="C525">
        <v>-1</v>
      </c>
      <c r="D525" t="s">
        <v>930</v>
      </c>
      <c r="E525" t="s">
        <v>932</v>
      </c>
    </row>
    <row r="526" spans="1:6">
      <c r="B526" s="4">
        <v>45995</v>
      </c>
      <c r="C526">
        <v>-13</v>
      </c>
      <c r="D526" t="s">
        <v>933</v>
      </c>
      <c r="E526" t="s">
        <v>934</v>
      </c>
    </row>
    <row r="527" spans="1:6">
      <c r="B527" s="4">
        <v>45995</v>
      </c>
      <c r="C527">
        <v>-2.8</v>
      </c>
      <c r="D527" t="s">
        <v>935</v>
      </c>
      <c r="E527" t="s">
        <v>936</v>
      </c>
    </row>
    <row r="528" spans="1:6">
      <c r="B528" s="4">
        <v>45996</v>
      </c>
      <c r="C528">
        <v>-0.6</v>
      </c>
      <c r="D528" t="s">
        <v>927</v>
      </c>
      <c r="E528" t="s">
        <v>928</v>
      </c>
    </row>
    <row r="529" spans="1:11">
      <c r="B529" s="4">
        <v>45996</v>
      </c>
      <c r="C529">
        <v>-0.6</v>
      </c>
      <c r="D529" t="s">
        <v>927</v>
      </c>
      <c r="E529" t="s">
        <v>928</v>
      </c>
    </row>
    <row r="530" spans="1:11">
      <c r="B530" s="4">
        <v>45996</v>
      </c>
      <c r="C530">
        <v>-1</v>
      </c>
      <c r="D530" t="s">
        <v>930</v>
      </c>
      <c r="E530" t="s">
        <v>931</v>
      </c>
    </row>
    <row r="531" spans="1:11">
      <c r="B531" s="4">
        <v>45996</v>
      </c>
      <c r="C531">
        <v>-18.399999999999999</v>
      </c>
      <c r="D531" t="s">
        <v>937</v>
      </c>
      <c r="E531" t="s">
        <v>938</v>
      </c>
    </row>
    <row r="532" spans="1:11">
      <c r="B532" s="4">
        <v>45996</v>
      </c>
      <c r="C532">
        <v>-3.5</v>
      </c>
      <c r="D532" t="s">
        <v>930</v>
      </c>
      <c r="F532" t="s">
        <v>939</v>
      </c>
    </row>
    <row r="533" spans="1:11">
      <c r="B533" s="4">
        <v>45996</v>
      </c>
      <c r="C533">
        <v>-13</v>
      </c>
      <c r="D533" t="s">
        <v>930</v>
      </c>
      <c r="E533" t="s">
        <v>940</v>
      </c>
    </row>
    <row r="534" spans="1:11">
      <c r="A534">
        <f>SUM(C520:C534)</f>
        <v>-98</v>
      </c>
      <c r="B534" s="4">
        <v>45996</v>
      </c>
      <c r="C534">
        <v>-39.5</v>
      </c>
      <c r="D534" t="s">
        <v>937</v>
      </c>
      <c r="F534" t="s">
        <v>941</v>
      </c>
      <c r="I534" s="3"/>
      <c r="J534" s="3"/>
      <c r="K534" s="3"/>
    </row>
    <row r="535" spans="1:11">
      <c r="B535" s="4">
        <v>45997</v>
      </c>
      <c r="C535">
        <v>-0.6</v>
      </c>
      <c r="D535" t="s">
        <v>942</v>
      </c>
      <c r="E535" t="s">
        <v>943</v>
      </c>
      <c r="I535" s="3"/>
      <c r="J535" s="3"/>
      <c r="K535" s="3"/>
    </row>
    <row r="536" spans="1:11">
      <c r="B536" s="4">
        <v>45997</v>
      </c>
      <c r="C536">
        <v>-25.88</v>
      </c>
      <c r="D536" t="s">
        <v>944</v>
      </c>
      <c r="E536" t="s">
        <v>945</v>
      </c>
      <c r="I536" s="3"/>
      <c r="J536" s="3"/>
      <c r="K536" s="3"/>
    </row>
    <row r="537" spans="1:11">
      <c r="B537" s="4">
        <v>45997</v>
      </c>
      <c r="C537">
        <v>-0.6</v>
      </c>
      <c r="D537" t="s">
        <v>944</v>
      </c>
      <c r="E537" t="s">
        <v>946</v>
      </c>
      <c r="I537" s="3"/>
      <c r="J537" s="3"/>
      <c r="K537" s="3"/>
    </row>
    <row r="538" spans="1:11">
      <c r="B538" s="4">
        <v>45997</v>
      </c>
      <c r="C538">
        <v>-120.8</v>
      </c>
      <c r="D538" t="s">
        <v>954</v>
      </c>
      <c r="F538" t="s">
        <v>955</v>
      </c>
      <c r="I538" s="3"/>
      <c r="J538" s="3"/>
      <c r="K538" s="3"/>
    </row>
    <row r="539" spans="1:11">
      <c r="B539" s="4">
        <v>45997</v>
      </c>
      <c r="C539">
        <v>-25.9</v>
      </c>
      <c r="D539" t="s">
        <v>956</v>
      </c>
      <c r="F539" t="s">
        <v>957</v>
      </c>
      <c r="I539" s="3"/>
      <c r="J539" s="3"/>
      <c r="K539" s="3"/>
    </row>
    <row r="540" spans="1:11">
      <c r="B540" s="4">
        <v>45997</v>
      </c>
      <c r="C540">
        <v>-14.9</v>
      </c>
      <c r="D540" t="s">
        <v>958</v>
      </c>
      <c r="E540" t="s">
        <v>959</v>
      </c>
      <c r="I540" s="3"/>
      <c r="J540" s="3"/>
      <c r="K540" s="3"/>
    </row>
    <row r="541" spans="1:11">
      <c r="B541" s="4">
        <v>45997</v>
      </c>
      <c r="C541">
        <v>-8.82</v>
      </c>
      <c r="D541" t="s">
        <v>963</v>
      </c>
      <c r="F541" t="s">
        <v>964</v>
      </c>
      <c r="I541" s="3"/>
      <c r="J541" s="3"/>
      <c r="K541" s="3"/>
    </row>
    <row r="542" spans="1:11">
      <c r="B542" s="4">
        <v>45997</v>
      </c>
      <c r="C542">
        <v>-5551.21</v>
      </c>
      <c r="D542" t="s">
        <v>963</v>
      </c>
      <c r="F542" t="s">
        <v>965</v>
      </c>
      <c r="I542" s="3"/>
      <c r="J542" s="3"/>
      <c r="K542" s="3"/>
    </row>
    <row r="543" spans="1:11">
      <c r="B543" s="4">
        <v>45997</v>
      </c>
      <c r="C543">
        <v>-33.86</v>
      </c>
      <c r="D543" t="s">
        <v>963</v>
      </c>
      <c r="F543" t="s">
        <v>966</v>
      </c>
      <c r="I543" s="3"/>
      <c r="J543" s="3"/>
      <c r="K543" s="3"/>
    </row>
    <row r="544" spans="1:11">
      <c r="B544" s="4">
        <v>45997</v>
      </c>
      <c r="C544">
        <v>-75.56</v>
      </c>
      <c r="D544" t="s">
        <v>963</v>
      </c>
      <c r="F544" t="s">
        <v>967</v>
      </c>
      <c r="I544" s="3"/>
      <c r="J544" s="3"/>
      <c r="K544" s="3"/>
    </row>
    <row r="545" spans="1:11">
      <c r="B545" s="4">
        <v>45998</v>
      </c>
      <c r="C545">
        <v>-100</v>
      </c>
      <c r="D545" t="s">
        <v>947</v>
      </c>
      <c r="E545" t="s">
        <v>948</v>
      </c>
      <c r="I545" s="3"/>
      <c r="J545" s="3"/>
      <c r="K545" s="3"/>
    </row>
    <row r="546" spans="1:11">
      <c r="B546" s="4">
        <v>45998</v>
      </c>
      <c r="C546">
        <v>-73.13</v>
      </c>
      <c r="D546" t="s">
        <v>1</v>
      </c>
      <c r="E546" t="s">
        <v>949</v>
      </c>
      <c r="I546" s="3"/>
      <c r="J546" s="3"/>
      <c r="K546" s="3"/>
    </row>
    <row r="547" spans="1:11">
      <c r="B547" s="4">
        <v>45998</v>
      </c>
      <c r="C547">
        <v>-13</v>
      </c>
      <c r="D547" t="s">
        <v>944</v>
      </c>
      <c r="E547" t="s">
        <v>950</v>
      </c>
      <c r="I547" s="3"/>
      <c r="J547" s="3"/>
      <c r="K547" s="3"/>
    </row>
    <row r="548" spans="1:11">
      <c r="B548" s="4">
        <v>45998</v>
      </c>
      <c r="C548">
        <v>-10.9</v>
      </c>
      <c r="D548" t="s">
        <v>968</v>
      </c>
      <c r="E548" t="s">
        <v>945</v>
      </c>
      <c r="I548" s="3"/>
      <c r="J548" s="3"/>
      <c r="K548" s="3"/>
    </row>
    <row r="549" spans="1:11">
      <c r="B549" s="4">
        <v>45999</v>
      </c>
      <c r="C549">
        <v>-0.6</v>
      </c>
      <c r="D549" t="s">
        <v>951</v>
      </c>
      <c r="E549" t="s">
        <v>952</v>
      </c>
      <c r="I549" s="3"/>
      <c r="J549" s="3"/>
      <c r="K549" s="3"/>
    </row>
    <row r="550" spans="1:11">
      <c r="B550" s="4">
        <v>45999</v>
      </c>
      <c r="C550">
        <v>-13.19</v>
      </c>
      <c r="D550" t="s">
        <v>944</v>
      </c>
      <c r="E550" t="s">
        <v>953</v>
      </c>
    </row>
    <row r="551" spans="1:11">
      <c r="B551" s="4">
        <v>45999</v>
      </c>
      <c r="C551">
        <v>-0.8</v>
      </c>
      <c r="D551" t="s">
        <v>954</v>
      </c>
      <c r="E551" t="s">
        <v>946</v>
      </c>
    </row>
    <row r="552" spans="1:11">
      <c r="B552" s="4">
        <v>45999</v>
      </c>
      <c r="C552">
        <v>-3</v>
      </c>
      <c r="D552" t="s">
        <v>960</v>
      </c>
      <c r="E552" t="s">
        <v>961</v>
      </c>
    </row>
    <row r="553" spans="1:11">
      <c r="B553" s="4">
        <v>46000</v>
      </c>
      <c r="C553">
        <v>-11.3</v>
      </c>
      <c r="D553" t="s">
        <v>968</v>
      </c>
      <c r="E553" t="s">
        <v>969</v>
      </c>
    </row>
    <row r="554" spans="1:11">
      <c r="B554" s="4">
        <v>46000</v>
      </c>
      <c r="C554">
        <v>-0.6</v>
      </c>
      <c r="D554" t="s">
        <v>944</v>
      </c>
      <c r="E554" t="s">
        <v>952</v>
      </c>
    </row>
    <row r="555" spans="1:11">
      <c r="B555" s="4">
        <v>46000</v>
      </c>
      <c r="C555">
        <v>-0.6</v>
      </c>
      <c r="D555" t="s">
        <v>944</v>
      </c>
      <c r="E555" t="s">
        <v>952</v>
      </c>
    </row>
    <row r="556" spans="1:11">
      <c r="A556">
        <f>SUM(C535:C556)</f>
        <v>-6086.2500000000009</v>
      </c>
      <c r="B556" s="4">
        <v>46000</v>
      </c>
      <c r="C556">
        <v>-1</v>
      </c>
      <c r="D556" t="s">
        <v>956</v>
      </c>
      <c r="E556" t="s">
        <v>962</v>
      </c>
    </row>
    <row r="557" spans="1:11">
      <c r="B557" s="4">
        <v>46001</v>
      </c>
      <c r="C557">
        <v>-0.6</v>
      </c>
      <c r="D557" t="s">
        <v>23</v>
      </c>
      <c r="E557" t="s">
        <v>86</v>
      </c>
    </row>
    <row r="558" spans="1:11">
      <c r="B558" s="4">
        <v>46001</v>
      </c>
      <c r="C558">
        <v>-0.5</v>
      </c>
      <c r="D558" t="s">
        <v>0</v>
      </c>
      <c r="E558" t="s">
        <v>86</v>
      </c>
    </row>
    <row r="559" spans="1:11">
      <c r="B559" s="4">
        <v>46001</v>
      </c>
      <c r="C559">
        <v>-1</v>
      </c>
      <c r="D559" t="s">
        <v>0</v>
      </c>
      <c r="E559" t="s">
        <v>980</v>
      </c>
    </row>
    <row r="560" spans="1:11">
      <c r="B560" s="4">
        <v>46001</v>
      </c>
      <c r="C560">
        <v>-100</v>
      </c>
      <c r="D560" t="s">
        <v>508</v>
      </c>
      <c r="F560" t="s">
        <v>982</v>
      </c>
    </row>
    <row r="561" spans="2:6">
      <c r="B561" s="4">
        <v>46002</v>
      </c>
      <c r="C561">
        <v>-150.69999999999999</v>
      </c>
      <c r="D561" t="s">
        <v>508</v>
      </c>
      <c r="F561" t="s">
        <v>985</v>
      </c>
    </row>
    <row r="562" spans="2:6">
      <c r="B562" s="4">
        <v>46002</v>
      </c>
      <c r="C562">
        <v>-121.55</v>
      </c>
      <c r="D562" t="s">
        <v>508</v>
      </c>
      <c r="F562" t="s">
        <v>984</v>
      </c>
    </row>
    <row r="563" spans="2:6">
      <c r="B563" s="4">
        <v>46002</v>
      </c>
      <c r="C563">
        <v>-65.55</v>
      </c>
      <c r="D563" t="s">
        <v>508</v>
      </c>
      <c r="F563" t="s">
        <v>983</v>
      </c>
    </row>
    <row r="564" spans="2:6">
      <c r="B564" s="4">
        <v>46002</v>
      </c>
      <c r="C564">
        <v>-3</v>
      </c>
      <c r="D564" t="s">
        <v>0</v>
      </c>
      <c r="E564" t="s">
        <v>980</v>
      </c>
    </row>
    <row r="565" spans="2:6">
      <c r="B565" s="4">
        <v>46002</v>
      </c>
      <c r="C565">
        <v>-0.6</v>
      </c>
      <c r="D565" t="s">
        <v>23</v>
      </c>
      <c r="E565" t="s">
        <v>86</v>
      </c>
    </row>
    <row r="566" spans="2:6">
      <c r="B566" s="4">
        <v>46002</v>
      </c>
      <c r="C566">
        <v>-0.6</v>
      </c>
      <c r="D566" t="s">
        <v>23</v>
      </c>
      <c r="E566" t="s">
        <v>86</v>
      </c>
    </row>
    <row r="567" spans="2:6">
      <c r="B567" s="4">
        <v>46002</v>
      </c>
      <c r="C567">
        <v>-5.84</v>
      </c>
      <c r="D567" t="s">
        <v>1</v>
      </c>
      <c r="F567" t="s">
        <v>972</v>
      </c>
    </row>
    <row r="568" spans="2:6">
      <c r="B568" s="4">
        <v>46002</v>
      </c>
      <c r="C568">
        <v>-5</v>
      </c>
      <c r="D568" t="s">
        <v>1</v>
      </c>
      <c r="F568" t="s">
        <v>973</v>
      </c>
    </row>
    <row r="569" spans="2:6">
      <c r="B569" s="4">
        <v>46002</v>
      </c>
      <c r="C569">
        <v>-3.58</v>
      </c>
      <c r="D569" t="s">
        <v>1</v>
      </c>
      <c r="F569" t="s">
        <v>974</v>
      </c>
    </row>
    <row r="570" spans="2:6">
      <c r="B570" s="4">
        <v>46003</v>
      </c>
      <c r="C570">
        <v>-3</v>
      </c>
      <c r="D570" t="s">
        <v>0</v>
      </c>
      <c r="E570" t="s">
        <v>980</v>
      </c>
    </row>
    <row r="571" spans="2:6">
      <c r="B571" s="4">
        <v>46003</v>
      </c>
      <c r="C571">
        <v>-0.6</v>
      </c>
      <c r="D571" t="s">
        <v>23</v>
      </c>
      <c r="E571" t="s">
        <v>86</v>
      </c>
    </row>
    <row r="572" spans="2:6">
      <c r="B572" s="4">
        <v>46003</v>
      </c>
      <c r="C572">
        <v>-16.72</v>
      </c>
      <c r="D572" t="s">
        <v>1</v>
      </c>
      <c r="E572" t="s">
        <v>86</v>
      </c>
      <c r="F572" t="s">
        <v>975</v>
      </c>
    </row>
    <row r="573" spans="2:6">
      <c r="B573" s="4">
        <v>46003</v>
      </c>
      <c r="C573">
        <v>-7.98</v>
      </c>
      <c r="D573" t="s">
        <v>1</v>
      </c>
      <c r="F573" t="s">
        <v>976</v>
      </c>
    </row>
    <row r="574" spans="2:6">
      <c r="B574" s="4">
        <v>46003</v>
      </c>
      <c r="C574">
        <v>-47</v>
      </c>
      <c r="D574" t="s">
        <v>1</v>
      </c>
      <c r="F574" t="s">
        <v>977</v>
      </c>
    </row>
    <row r="575" spans="2:6">
      <c r="B575" s="4">
        <v>46003</v>
      </c>
      <c r="C575">
        <v>-4.66</v>
      </c>
      <c r="D575" t="s">
        <v>1</v>
      </c>
      <c r="F575" t="s">
        <v>978</v>
      </c>
    </row>
    <row r="576" spans="2:6">
      <c r="B576" s="4">
        <v>46004</v>
      </c>
      <c r="C576">
        <v>-7.8</v>
      </c>
      <c r="D576" t="s">
        <v>508</v>
      </c>
      <c r="E576" t="s">
        <v>986</v>
      </c>
      <c r="F576" t="s">
        <v>987</v>
      </c>
    </row>
    <row r="577" spans="1:6">
      <c r="B577" s="4">
        <v>46004</v>
      </c>
      <c r="C577">
        <v>-10</v>
      </c>
      <c r="D577" t="s">
        <v>1</v>
      </c>
      <c r="F577" t="s">
        <v>979</v>
      </c>
    </row>
    <row r="578" spans="1:6">
      <c r="A578">
        <f>SUM(C557:C578)</f>
        <v>-606.28</v>
      </c>
      <c r="B578" s="4">
        <v>46004</v>
      </c>
      <c r="C578">
        <v>-50</v>
      </c>
      <c r="D578" t="s">
        <v>0</v>
      </c>
      <c r="F578" t="s">
        <v>981</v>
      </c>
    </row>
    <row r="579" spans="1:6">
      <c r="B579" s="4">
        <v>46005</v>
      </c>
      <c r="C579">
        <v>-18</v>
      </c>
      <c r="D579" t="s">
        <v>988</v>
      </c>
      <c r="F579" t="s">
        <v>989</v>
      </c>
    </row>
    <row r="580" spans="1:6">
      <c r="A580">
        <f>SUM(C579:C580)</f>
        <v>-31.47</v>
      </c>
      <c r="B580" s="4">
        <v>46005</v>
      </c>
      <c r="C580">
        <v>-13.47</v>
      </c>
      <c r="D580" t="s">
        <v>990</v>
      </c>
      <c r="F580" t="s">
        <v>991</v>
      </c>
    </row>
    <row r="581" spans="1:6">
      <c r="B581" s="4">
        <v>46006</v>
      </c>
      <c r="C581">
        <v>-3</v>
      </c>
      <c r="D581" t="s">
        <v>0</v>
      </c>
      <c r="E581" t="s">
        <v>995</v>
      </c>
    </row>
    <row r="582" spans="1:6">
      <c r="B582" s="4">
        <v>46006</v>
      </c>
      <c r="C582">
        <v>-100</v>
      </c>
      <c r="D582" t="s">
        <v>0</v>
      </c>
      <c r="F582" t="s">
        <v>996</v>
      </c>
    </row>
    <row r="583" spans="1:6">
      <c r="B583" s="4">
        <v>46006</v>
      </c>
      <c r="C583">
        <v>-4.1100000000000003</v>
      </c>
      <c r="D583" t="s">
        <v>0</v>
      </c>
      <c r="F583" t="s">
        <v>998</v>
      </c>
    </row>
    <row r="584" spans="1:6">
      <c r="B584" s="4">
        <v>46006</v>
      </c>
      <c r="C584">
        <v>-21</v>
      </c>
      <c r="D584" t="s">
        <v>0</v>
      </c>
      <c r="F584" t="s">
        <v>999</v>
      </c>
    </row>
    <row r="585" spans="1:6">
      <c r="B585" s="4">
        <v>46006</v>
      </c>
      <c r="C585">
        <v>-1.71</v>
      </c>
      <c r="D585" t="s">
        <v>0</v>
      </c>
      <c r="F585" t="s">
        <v>1000</v>
      </c>
    </row>
    <row r="586" spans="1:6">
      <c r="B586" s="4">
        <v>46006</v>
      </c>
      <c r="C586">
        <v>-3.48</v>
      </c>
      <c r="D586" t="s">
        <v>1</v>
      </c>
      <c r="F586" t="s">
        <v>1015</v>
      </c>
    </row>
    <row r="587" spans="1:6">
      <c r="B587" s="4">
        <v>46006</v>
      </c>
      <c r="C587">
        <v>-0.6</v>
      </c>
      <c r="D587" t="s">
        <v>1</v>
      </c>
      <c r="E587" t="s">
        <v>86</v>
      </c>
    </row>
    <row r="588" spans="1:6">
      <c r="B588" s="4">
        <v>46007</v>
      </c>
      <c r="C588">
        <v>-3</v>
      </c>
      <c r="D588" t="s">
        <v>0</v>
      </c>
      <c r="E588" t="s">
        <v>1001</v>
      </c>
    </row>
    <row r="589" spans="1:6">
      <c r="B589" s="4">
        <v>46008</v>
      </c>
      <c r="C589">
        <v>-3</v>
      </c>
      <c r="D589" t="s">
        <v>0</v>
      </c>
      <c r="E589" t="s">
        <v>1002</v>
      </c>
    </row>
    <row r="590" spans="1:6">
      <c r="B590" s="4">
        <v>46008</v>
      </c>
      <c r="C590">
        <v>-25.5</v>
      </c>
      <c r="D590" t="s">
        <v>0</v>
      </c>
      <c r="E590" t="s">
        <v>1003</v>
      </c>
    </row>
    <row r="591" spans="1:6">
      <c r="B591" s="4">
        <v>46009</v>
      </c>
      <c r="C591">
        <v>-3</v>
      </c>
      <c r="D591" t="s">
        <v>0</v>
      </c>
      <c r="E591" t="s">
        <v>1002</v>
      </c>
    </row>
    <row r="592" spans="1:6">
      <c r="B592" s="4">
        <v>46009</v>
      </c>
      <c r="C592">
        <v>-13</v>
      </c>
      <c r="D592" t="s">
        <v>0</v>
      </c>
      <c r="E592" t="s">
        <v>1004</v>
      </c>
    </row>
    <row r="593" spans="2:6">
      <c r="B593" s="4">
        <v>46010</v>
      </c>
      <c r="C593">
        <v>-3</v>
      </c>
      <c r="D593" t="s">
        <v>0</v>
      </c>
      <c r="E593" t="s">
        <v>1002</v>
      </c>
    </row>
    <row r="594" spans="2:6">
      <c r="B594" s="4">
        <v>46011</v>
      </c>
      <c r="C594">
        <v>-50</v>
      </c>
      <c r="D594" t="s">
        <v>0</v>
      </c>
      <c r="F594" t="s">
        <v>1005</v>
      </c>
    </row>
    <row r="595" spans="2:6">
      <c r="B595" s="4">
        <v>46011</v>
      </c>
      <c r="C595">
        <v>-2.4300000000000002</v>
      </c>
      <c r="D595" t="s">
        <v>1</v>
      </c>
      <c r="F595" t="s">
        <v>1017</v>
      </c>
    </row>
    <row r="596" spans="2:6">
      <c r="B596" s="4">
        <v>46011</v>
      </c>
      <c r="C596">
        <v>-29.86</v>
      </c>
      <c r="D596" t="s">
        <v>1</v>
      </c>
      <c r="F596" t="s">
        <v>999</v>
      </c>
    </row>
    <row r="597" spans="2:6">
      <c r="B597" s="4">
        <v>46011</v>
      </c>
      <c r="C597">
        <v>-21.57</v>
      </c>
      <c r="D597" t="s">
        <v>1</v>
      </c>
      <c r="F597" t="s">
        <v>997</v>
      </c>
    </row>
    <row r="598" spans="2:6">
      <c r="B598" s="4">
        <v>46012</v>
      </c>
      <c r="C598">
        <v>-10</v>
      </c>
      <c r="D598" t="s">
        <v>1</v>
      </c>
      <c r="F598" t="s">
        <v>1018</v>
      </c>
    </row>
    <row r="599" spans="2:6">
      <c r="B599" s="4">
        <v>46012</v>
      </c>
      <c r="C599">
        <v>-28.9</v>
      </c>
      <c r="D599" t="s">
        <v>508</v>
      </c>
      <c r="F599" t="s">
        <v>1019</v>
      </c>
    </row>
    <row r="600" spans="2:6">
      <c r="B600" s="4">
        <v>46013</v>
      </c>
      <c r="C600">
        <v>-1</v>
      </c>
      <c r="D600" t="s">
        <v>0</v>
      </c>
      <c r="E600" t="s">
        <v>1002</v>
      </c>
    </row>
    <row r="601" spans="2:6">
      <c r="B601" s="4">
        <v>46014</v>
      </c>
      <c r="C601">
        <v>-3</v>
      </c>
      <c r="D601" t="s">
        <v>0</v>
      </c>
      <c r="E601" t="s">
        <v>1002</v>
      </c>
    </row>
    <row r="602" spans="2:6">
      <c r="B602" s="4">
        <v>46015</v>
      </c>
      <c r="C602">
        <v>-1.8</v>
      </c>
      <c r="D602" t="s">
        <v>1006</v>
      </c>
      <c r="E602" t="s">
        <v>1007</v>
      </c>
    </row>
    <row r="603" spans="2:6">
      <c r="B603" s="4">
        <v>46015</v>
      </c>
      <c r="C603">
        <v>-1</v>
      </c>
      <c r="D603" t="s">
        <v>0</v>
      </c>
      <c r="E603" t="s">
        <v>995</v>
      </c>
    </row>
    <row r="604" spans="2:6">
      <c r="B604" s="4">
        <v>46015</v>
      </c>
      <c r="C604">
        <v>-3</v>
      </c>
      <c r="D604" t="s">
        <v>1008</v>
      </c>
      <c r="E604" t="s">
        <v>1009</v>
      </c>
    </row>
    <row r="605" spans="2:6">
      <c r="B605" s="4">
        <v>46015</v>
      </c>
      <c r="C605">
        <v>-13</v>
      </c>
      <c r="D605" t="s">
        <v>1006</v>
      </c>
      <c r="E605" t="s">
        <v>1004</v>
      </c>
    </row>
    <row r="606" spans="2:6">
      <c r="B606" s="4">
        <v>46015</v>
      </c>
      <c r="C606">
        <v>-32.299999999999997</v>
      </c>
      <c r="D606" t="s">
        <v>1</v>
      </c>
      <c r="F606" t="s">
        <v>999</v>
      </c>
    </row>
    <row r="607" spans="2:6">
      <c r="B607" s="4">
        <v>46016</v>
      </c>
      <c r="C607">
        <v>-3</v>
      </c>
      <c r="D607" t="s">
        <v>1008</v>
      </c>
      <c r="E607" t="s">
        <v>1002</v>
      </c>
    </row>
    <row r="608" spans="2:6">
      <c r="B608" s="4">
        <v>46017</v>
      </c>
      <c r="C608">
        <v>-1</v>
      </c>
      <c r="D608" t="s">
        <v>1008</v>
      </c>
      <c r="E608" t="s">
        <v>1002</v>
      </c>
    </row>
    <row r="609" spans="1:6">
      <c r="B609" s="4">
        <v>46017</v>
      </c>
      <c r="C609">
        <v>-8.5</v>
      </c>
      <c r="D609" t="s">
        <v>1006</v>
      </c>
      <c r="F609" t="s">
        <v>1010</v>
      </c>
    </row>
    <row r="610" spans="1:6">
      <c r="B610" s="4">
        <v>46017</v>
      </c>
      <c r="C610">
        <v>-17.03</v>
      </c>
      <c r="D610" t="s">
        <v>0</v>
      </c>
      <c r="F610" t="s">
        <v>997</v>
      </c>
    </row>
    <row r="611" spans="1:6">
      <c r="B611" s="4">
        <v>46017</v>
      </c>
      <c r="C611">
        <v>-15.39</v>
      </c>
      <c r="D611" t="s">
        <v>1011</v>
      </c>
      <c r="F611" t="s">
        <v>1012</v>
      </c>
    </row>
    <row r="612" spans="1:6">
      <c r="B612" s="4">
        <v>46018</v>
      </c>
      <c r="C612">
        <v>-283.8</v>
      </c>
      <c r="D612" t="s">
        <v>1013</v>
      </c>
      <c r="F612" t="s">
        <v>1014</v>
      </c>
    </row>
    <row r="613" spans="1:6">
      <c r="B613" s="4">
        <v>46018</v>
      </c>
      <c r="C613">
        <v>-1.71</v>
      </c>
      <c r="D613" t="s">
        <v>0</v>
      </c>
      <c r="F613" t="s">
        <v>1000</v>
      </c>
    </row>
    <row r="614" spans="1:6">
      <c r="A614">
        <f>SUM(C581:C614)</f>
        <v>-717.59</v>
      </c>
      <c r="B614" s="4">
        <v>46018</v>
      </c>
      <c r="C614">
        <v>-4.9000000000000004</v>
      </c>
      <c r="D614" t="s">
        <v>1</v>
      </c>
      <c r="F614" t="s">
        <v>1020</v>
      </c>
    </row>
    <row r="615" spans="1:6">
      <c r="B615" s="4">
        <v>46019</v>
      </c>
      <c r="C615">
        <v>-29.5</v>
      </c>
      <c r="D615" t="s">
        <v>0</v>
      </c>
      <c r="F615" t="s">
        <v>1022</v>
      </c>
    </row>
    <row r="616" spans="1:6">
      <c r="B616" s="4">
        <v>46019</v>
      </c>
      <c r="C616">
        <v>-21.8</v>
      </c>
      <c r="D616" t="s">
        <v>508</v>
      </c>
      <c r="F616" t="s">
        <v>1033</v>
      </c>
    </row>
    <row r="617" spans="1:6">
      <c r="B617" s="4">
        <v>46019</v>
      </c>
      <c r="C617">
        <v>-26.47</v>
      </c>
      <c r="D617" t="s">
        <v>1</v>
      </c>
      <c r="F617" t="s">
        <v>1022</v>
      </c>
    </row>
    <row r="618" spans="1:6">
      <c r="B618" s="4">
        <v>46019</v>
      </c>
      <c r="C618">
        <v>-13.26</v>
      </c>
      <c r="D618" t="s">
        <v>1</v>
      </c>
      <c r="F618" t="s">
        <v>1022</v>
      </c>
    </row>
    <row r="619" spans="1:6">
      <c r="B619" s="4">
        <v>46019</v>
      </c>
      <c r="C619">
        <v>-33</v>
      </c>
      <c r="D619" t="s">
        <v>1</v>
      </c>
      <c r="F619" t="s">
        <v>1022</v>
      </c>
    </row>
    <row r="620" spans="1:6">
      <c r="B620" s="4">
        <v>46020</v>
      </c>
      <c r="C620">
        <v>-3</v>
      </c>
      <c r="D620" t="s">
        <v>0</v>
      </c>
      <c r="E620" t="s">
        <v>1023</v>
      </c>
    </row>
    <row r="621" spans="1:6">
      <c r="B621" s="4">
        <v>46020</v>
      </c>
      <c r="C621">
        <v>-15</v>
      </c>
      <c r="D621" t="s">
        <v>0</v>
      </c>
      <c r="F621" t="s">
        <v>1024</v>
      </c>
    </row>
    <row r="622" spans="1:6">
      <c r="B622" s="4">
        <v>46021</v>
      </c>
      <c r="C622">
        <v>-21.9</v>
      </c>
      <c r="D622" t="s">
        <v>1</v>
      </c>
      <c r="E622" t="s">
        <v>1029</v>
      </c>
    </row>
    <row r="623" spans="1:6">
      <c r="B623" s="4">
        <v>46021</v>
      </c>
      <c r="C623">
        <v>-9.42</v>
      </c>
      <c r="D623" t="s">
        <v>1</v>
      </c>
      <c r="E623" t="s">
        <v>1028</v>
      </c>
    </row>
    <row r="624" spans="1:6">
      <c r="B624" s="4">
        <v>46021</v>
      </c>
      <c r="C624">
        <v>-3</v>
      </c>
      <c r="D624" t="s">
        <v>0</v>
      </c>
      <c r="E624" t="s">
        <v>1023</v>
      </c>
    </row>
    <row r="625" spans="1:6">
      <c r="B625" s="4">
        <v>46021</v>
      </c>
      <c r="C625">
        <v>-3.5</v>
      </c>
      <c r="D625" t="s">
        <v>0</v>
      </c>
      <c r="F625" t="s">
        <v>1025</v>
      </c>
    </row>
    <row r="626" spans="1:6">
      <c r="B626" s="4">
        <v>46021</v>
      </c>
      <c r="C626">
        <v>-12.52</v>
      </c>
      <c r="D626" t="s">
        <v>1</v>
      </c>
      <c r="E626" t="s">
        <v>1030</v>
      </c>
    </row>
    <row r="627" spans="1:6">
      <c r="B627" s="4">
        <v>46021</v>
      </c>
      <c r="C627">
        <v>-22.9</v>
      </c>
      <c r="D627" t="s">
        <v>1</v>
      </c>
      <c r="E627" t="s">
        <v>1031</v>
      </c>
    </row>
    <row r="628" spans="1:6">
      <c r="B628" s="4">
        <v>46021</v>
      </c>
      <c r="C628">
        <v>-9.9600000000000009</v>
      </c>
      <c r="D628" t="s">
        <v>1</v>
      </c>
      <c r="E628" t="s">
        <v>1032</v>
      </c>
    </row>
    <row r="629" spans="1:6">
      <c r="B629" s="4">
        <v>46022</v>
      </c>
      <c r="C629">
        <v>-30.6</v>
      </c>
      <c r="D629" t="s">
        <v>508</v>
      </c>
      <c r="F629" t="s">
        <v>1034</v>
      </c>
    </row>
    <row r="630" spans="1:6">
      <c r="B630" s="4">
        <v>46022</v>
      </c>
      <c r="C630">
        <v>-3</v>
      </c>
      <c r="D630" t="s">
        <v>0</v>
      </c>
      <c r="E630" t="s">
        <v>1023</v>
      </c>
    </row>
    <row r="631" spans="1:6">
      <c r="B631" s="4">
        <v>46022</v>
      </c>
      <c r="C631">
        <v>-2.96</v>
      </c>
      <c r="D631" t="s">
        <v>0</v>
      </c>
      <c r="F631" t="s">
        <v>1026</v>
      </c>
    </row>
    <row r="632" spans="1:6">
      <c r="A632">
        <f>SUM(C615:C632)</f>
        <v>-282.97000000000003</v>
      </c>
      <c r="B632" s="4">
        <v>46022</v>
      </c>
      <c r="C632">
        <v>-21.18</v>
      </c>
      <c r="D632" t="s">
        <v>0</v>
      </c>
      <c r="F632" t="s">
        <v>1027</v>
      </c>
    </row>
    <row r="633" spans="1:6">
      <c r="B633" s="4">
        <v>46023</v>
      </c>
      <c r="C633">
        <v>-40</v>
      </c>
      <c r="D633" t="s">
        <v>0</v>
      </c>
      <c r="F633" t="s">
        <v>1035</v>
      </c>
    </row>
    <row r="634" spans="1:6">
      <c r="B634" s="4">
        <v>46023</v>
      </c>
      <c r="C634">
        <v>-55</v>
      </c>
      <c r="D634" t="s">
        <v>0</v>
      </c>
      <c r="F634" t="s">
        <v>1035</v>
      </c>
    </row>
    <row r="635" spans="1:6">
      <c r="B635" s="4">
        <v>46023</v>
      </c>
      <c r="C635">
        <v>-17.329999999999998</v>
      </c>
      <c r="D635" t="s">
        <v>1036</v>
      </c>
      <c r="E635" t="s">
        <v>1038</v>
      </c>
    </row>
    <row r="636" spans="1:6">
      <c r="B636" s="4">
        <v>46023</v>
      </c>
      <c r="C636">
        <v>-15.12</v>
      </c>
      <c r="D636" t="s">
        <v>1037</v>
      </c>
      <c r="E636" t="s">
        <v>1039</v>
      </c>
    </row>
    <row r="637" spans="1:6">
      <c r="B637" s="4">
        <v>46023</v>
      </c>
      <c r="C637">
        <v>-64.5</v>
      </c>
      <c r="D637" t="s">
        <v>1037</v>
      </c>
      <c r="E637" t="s">
        <v>1040</v>
      </c>
    </row>
    <row r="638" spans="1:6">
      <c r="B638" s="4">
        <v>46023</v>
      </c>
      <c r="C638">
        <v>-35</v>
      </c>
      <c r="D638" t="s">
        <v>1041</v>
      </c>
      <c r="F638" t="s">
        <v>1042</v>
      </c>
    </row>
    <row r="639" spans="1:6">
      <c r="B639" s="4">
        <v>46026</v>
      </c>
      <c r="C639">
        <v>-3</v>
      </c>
      <c r="D639" t="s">
        <v>1050</v>
      </c>
      <c r="E639" t="s">
        <v>1051</v>
      </c>
    </row>
    <row r="640" spans="1:6">
      <c r="B640" s="4">
        <v>46026</v>
      </c>
      <c r="C640">
        <v>-34.25</v>
      </c>
      <c r="D640" t="s">
        <v>1062</v>
      </c>
      <c r="F640" t="s">
        <v>1063</v>
      </c>
    </row>
    <row r="641" spans="1:6">
      <c r="B641" s="4">
        <v>46027</v>
      </c>
      <c r="C641">
        <v>-68.5</v>
      </c>
      <c r="D641" t="s">
        <v>508</v>
      </c>
      <c r="F641" t="s">
        <v>1065</v>
      </c>
    </row>
    <row r="642" spans="1:6">
      <c r="B642" s="4">
        <v>46027</v>
      </c>
      <c r="C642">
        <v>-69.900000000000006</v>
      </c>
      <c r="D642" t="s">
        <v>1062</v>
      </c>
      <c r="F642" t="s">
        <v>1064</v>
      </c>
    </row>
    <row r="643" spans="1:6">
      <c r="B643" s="4">
        <v>46027</v>
      </c>
      <c r="C643">
        <v>-3</v>
      </c>
      <c r="D643" t="s">
        <v>1052</v>
      </c>
      <c r="E643" t="s">
        <v>1053</v>
      </c>
    </row>
    <row r="644" spans="1:6">
      <c r="B644" s="4">
        <v>46027</v>
      </c>
      <c r="C644">
        <v>-1700</v>
      </c>
      <c r="D644" t="s">
        <v>1054</v>
      </c>
      <c r="E644" t="s">
        <v>1055</v>
      </c>
    </row>
    <row r="645" spans="1:6">
      <c r="B645" s="4">
        <v>46028</v>
      </c>
      <c r="C645">
        <v>-143.08000000000001</v>
      </c>
      <c r="D645" t="s">
        <v>1062</v>
      </c>
      <c r="F645" t="s">
        <v>1065</v>
      </c>
    </row>
    <row r="646" spans="1:6">
      <c r="B646" s="4">
        <v>46028</v>
      </c>
      <c r="C646">
        <v>-1</v>
      </c>
      <c r="D646" t="s">
        <v>1050</v>
      </c>
      <c r="E646" t="s">
        <v>1053</v>
      </c>
    </row>
    <row r="647" spans="1:6">
      <c r="B647" s="4">
        <v>46028</v>
      </c>
      <c r="C647">
        <v>-3.65</v>
      </c>
      <c r="D647" t="s">
        <v>1056</v>
      </c>
      <c r="F647" t="s">
        <v>1057</v>
      </c>
    </row>
    <row r="648" spans="1:6">
      <c r="B648" s="4">
        <v>46028</v>
      </c>
      <c r="C648">
        <v>-13</v>
      </c>
      <c r="D648" t="s">
        <v>1058</v>
      </c>
      <c r="E648" t="s">
        <v>1059</v>
      </c>
    </row>
    <row r="649" spans="1:6">
      <c r="B649" s="4">
        <v>46028</v>
      </c>
      <c r="C649">
        <v>-10.25</v>
      </c>
      <c r="D649" t="s">
        <v>1060</v>
      </c>
      <c r="E649" t="s">
        <v>1061</v>
      </c>
    </row>
    <row r="650" spans="1:6">
      <c r="A650">
        <f>SUM(C633:C650)</f>
        <v>-2345.9699999999998</v>
      </c>
      <c r="B650" s="4">
        <v>46028</v>
      </c>
      <c r="C650">
        <v>-69.39</v>
      </c>
      <c r="D650" t="s">
        <v>1066</v>
      </c>
      <c r="F650" t="s">
        <v>1067</v>
      </c>
    </row>
  </sheetData>
  <autoFilter ref="A1:F614"/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消费分类!$A$2:$A$8</xm:f>
          </x14:formula1>
          <xm:sqref>D2:D1048576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49"/>
  <sheetViews>
    <sheetView tabSelected="1" workbookViewId="0">
      <pane ySplit="1" topLeftCell="A41" activePane="bottomLeft" state="frozen"/>
      <selection pane="bottomLeft" activeCell="F58" sqref="F58"/>
    </sheetView>
  </sheetViews>
  <sheetFormatPr defaultRowHeight="13.8"/>
  <cols>
    <col min="1" max="1" width="11.21875" bestFit="1" customWidth="1"/>
    <col min="3" max="3" width="13.44140625" customWidth="1"/>
    <col min="4" max="4" width="19.44140625" customWidth="1"/>
    <col min="5" max="5" width="17.5546875" customWidth="1"/>
  </cols>
  <sheetData>
    <row r="1" spans="1:5">
      <c r="A1" t="s">
        <v>33</v>
      </c>
      <c r="B1" t="s">
        <v>34</v>
      </c>
      <c r="C1" t="s">
        <v>276</v>
      </c>
      <c r="D1" t="s">
        <v>35</v>
      </c>
      <c r="E1" t="s">
        <v>36</v>
      </c>
    </row>
    <row r="2" spans="1:5">
      <c r="A2" s="4">
        <v>45839</v>
      </c>
      <c r="B2" s="65">
        <v>415.26</v>
      </c>
      <c r="C2" t="s">
        <v>354</v>
      </c>
      <c r="D2" t="s">
        <v>96</v>
      </c>
      <c r="E2" t="s">
        <v>87</v>
      </c>
    </row>
    <row r="3" spans="1:5">
      <c r="A3" s="4">
        <v>45843</v>
      </c>
      <c r="B3" s="65">
        <v>6790.75</v>
      </c>
      <c r="C3" t="s">
        <v>277</v>
      </c>
      <c r="D3" t="s">
        <v>46</v>
      </c>
      <c r="E3" t="s">
        <v>37</v>
      </c>
    </row>
    <row r="4" spans="1:5">
      <c r="A4" s="4">
        <v>45850</v>
      </c>
      <c r="B4" s="65">
        <v>200</v>
      </c>
      <c r="C4" t="s">
        <v>279</v>
      </c>
      <c r="D4" t="s">
        <v>886</v>
      </c>
      <c r="E4" t="s">
        <v>123</v>
      </c>
    </row>
    <row r="5" spans="1:5">
      <c r="A5" s="4">
        <v>45852</v>
      </c>
      <c r="B5" s="65">
        <v>84</v>
      </c>
      <c r="C5" t="s">
        <v>355</v>
      </c>
      <c r="D5" t="s">
        <v>168</v>
      </c>
      <c r="E5" t="s">
        <v>169</v>
      </c>
    </row>
    <row r="6" spans="1:5">
      <c r="A6" s="4">
        <v>45853</v>
      </c>
      <c r="B6" s="65">
        <v>1100</v>
      </c>
      <c r="C6" t="s">
        <v>278</v>
      </c>
      <c r="D6" t="s">
        <v>176</v>
      </c>
      <c r="E6" t="s">
        <v>37</v>
      </c>
    </row>
    <row r="7" spans="1:5">
      <c r="A7" s="4">
        <v>45855</v>
      </c>
      <c r="B7" s="65">
        <v>1000</v>
      </c>
      <c r="C7" t="s">
        <v>278</v>
      </c>
      <c r="D7" t="s">
        <v>191</v>
      </c>
      <c r="E7" t="s">
        <v>192</v>
      </c>
    </row>
    <row r="8" spans="1:5">
      <c r="A8" s="4">
        <v>45859</v>
      </c>
      <c r="B8" s="65">
        <v>69.900000000000006</v>
      </c>
      <c r="C8" t="s">
        <v>356</v>
      </c>
      <c r="D8" t="s">
        <v>194</v>
      </c>
      <c r="E8" t="s">
        <v>193</v>
      </c>
    </row>
    <row r="9" spans="1:5">
      <c r="A9" s="4">
        <v>45860</v>
      </c>
      <c r="B9" s="65">
        <v>800</v>
      </c>
      <c r="C9" t="s">
        <v>278</v>
      </c>
      <c r="D9" t="s">
        <v>228</v>
      </c>
      <c r="E9" t="s">
        <v>37</v>
      </c>
    </row>
    <row r="10" spans="1:5">
      <c r="A10" s="4">
        <v>45860</v>
      </c>
      <c r="B10" s="65">
        <v>314</v>
      </c>
      <c r="C10" t="s">
        <v>357</v>
      </c>
      <c r="D10" t="s">
        <v>229</v>
      </c>
      <c r="E10" t="s">
        <v>238</v>
      </c>
    </row>
    <row r="11" spans="1:5">
      <c r="A11" s="4">
        <v>45860</v>
      </c>
      <c r="B11" s="65">
        <v>5.05</v>
      </c>
      <c r="C11" t="s">
        <v>357</v>
      </c>
      <c r="D11" t="s">
        <v>261</v>
      </c>
      <c r="E11" t="s">
        <v>259</v>
      </c>
    </row>
    <row r="12" spans="1:5">
      <c r="A12" s="4">
        <v>45862</v>
      </c>
      <c r="B12" s="65">
        <v>3</v>
      </c>
      <c r="C12" t="s">
        <v>357</v>
      </c>
      <c r="D12" t="s">
        <v>258</v>
      </c>
      <c r="E12" t="s">
        <v>260</v>
      </c>
    </row>
    <row r="13" spans="1:5">
      <c r="A13" s="4">
        <v>45863</v>
      </c>
      <c r="B13" s="65">
        <v>3.6</v>
      </c>
      <c r="C13" t="s">
        <v>278</v>
      </c>
      <c r="D13" t="s">
        <v>262</v>
      </c>
      <c r="E13" t="s">
        <v>263</v>
      </c>
    </row>
    <row r="14" spans="1:5">
      <c r="A14" s="4">
        <v>45873</v>
      </c>
      <c r="B14" s="65">
        <v>50</v>
      </c>
      <c r="C14" t="s">
        <v>358</v>
      </c>
      <c r="D14" t="s">
        <v>359</v>
      </c>
      <c r="E14" t="s">
        <v>360</v>
      </c>
    </row>
    <row r="15" spans="1:5">
      <c r="A15" s="4">
        <v>45874</v>
      </c>
      <c r="B15" s="65">
        <v>5704.34</v>
      </c>
      <c r="C15" t="s">
        <v>361</v>
      </c>
      <c r="D15" t="s">
        <v>362</v>
      </c>
      <c r="E15" t="s">
        <v>37</v>
      </c>
    </row>
    <row r="16" spans="1:5">
      <c r="A16" s="4">
        <v>45884</v>
      </c>
      <c r="B16" s="65">
        <v>1100</v>
      </c>
      <c r="C16" t="s">
        <v>399</v>
      </c>
      <c r="D16" t="s">
        <v>176</v>
      </c>
      <c r="E16" t="s">
        <v>37</v>
      </c>
    </row>
    <row r="17" spans="1:5">
      <c r="A17" s="4">
        <v>45894</v>
      </c>
      <c r="B17" s="65">
        <v>20</v>
      </c>
      <c r="C17" t="s">
        <v>399</v>
      </c>
      <c r="D17" t="s">
        <v>475</v>
      </c>
      <c r="E17" t="s">
        <v>476</v>
      </c>
    </row>
    <row r="18" spans="1:5">
      <c r="A18" s="4">
        <v>45905</v>
      </c>
      <c r="B18" s="65">
        <v>5704.35</v>
      </c>
      <c r="C18" t="s">
        <v>361</v>
      </c>
      <c r="D18" t="s">
        <v>510</v>
      </c>
      <c r="E18" t="s">
        <v>37</v>
      </c>
    </row>
    <row r="19" spans="1:5">
      <c r="A19" s="4">
        <v>45909</v>
      </c>
      <c r="B19" s="65">
        <v>0.53</v>
      </c>
      <c r="C19" t="s">
        <v>536</v>
      </c>
      <c r="D19" t="s">
        <v>475</v>
      </c>
      <c r="E19" t="s">
        <v>400</v>
      </c>
    </row>
    <row r="20" spans="1:5">
      <c r="A20" s="4">
        <v>45912</v>
      </c>
      <c r="B20" s="65">
        <v>29.81</v>
      </c>
      <c r="C20" t="s">
        <v>546</v>
      </c>
      <c r="D20" t="s">
        <v>547</v>
      </c>
      <c r="E20" t="s">
        <v>548</v>
      </c>
    </row>
    <row r="21" spans="1:5">
      <c r="A21" s="4">
        <v>45913</v>
      </c>
      <c r="B21" s="65">
        <v>80.3</v>
      </c>
      <c r="C21" t="s">
        <v>555</v>
      </c>
      <c r="D21" t="s">
        <v>556</v>
      </c>
      <c r="E21" t="s">
        <v>557</v>
      </c>
    </row>
    <row r="22" spans="1:5">
      <c r="A22" s="4">
        <v>45915</v>
      </c>
      <c r="B22" s="65">
        <v>90.16</v>
      </c>
      <c r="C22" t="s">
        <v>566</v>
      </c>
      <c r="D22" t="s">
        <v>567</v>
      </c>
      <c r="E22" t="s">
        <v>568</v>
      </c>
    </row>
    <row r="23" spans="1:5">
      <c r="A23" s="4">
        <v>45917</v>
      </c>
      <c r="B23" s="65">
        <v>1200</v>
      </c>
      <c r="C23" t="s">
        <v>595</v>
      </c>
      <c r="D23" t="s">
        <v>596</v>
      </c>
      <c r="E23" t="s">
        <v>37</v>
      </c>
    </row>
    <row r="24" spans="1:5">
      <c r="A24" s="4">
        <v>45928</v>
      </c>
      <c r="B24" s="65">
        <v>2000</v>
      </c>
      <c r="C24" t="s">
        <v>614</v>
      </c>
      <c r="D24" t="s">
        <v>615</v>
      </c>
      <c r="E24" t="s">
        <v>37</v>
      </c>
    </row>
    <row r="25" spans="1:5">
      <c r="A25" s="4">
        <v>45935</v>
      </c>
      <c r="B25" s="65">
        <v>5704.35</v>
      </c>
      <c r="C25" t="s">
        <v>643</v>
      </c>
      <c r="D25" t="s">
        <v>644</v>
      </c>
      <c r="E25" t="s">
        <v>37</v>
      </c>
    </row>
    <row r="26" spans="1:5">
      <c r="A26" s="4">
        <v>45938</v>
      </c>
      <c r="B26" s="65">
        <v>252</v>
      </c>
      <c r="C26" t="s">
        <v>664</v>
      </c>
      <c r="D26" t="s">
        <v>665</v>
      </c>
      <c r="E26" t="s">
        <v>666</v>
      </c>
    </row>
    <row r="27" spans="1:5">
      <c r="A27" s="4">
        <v>45939</v>
      </c>
      <c r="B27" s="65">
        <v>5.94</v>
      </c>
      <c r="C27" t="s">
        <v>691</v>
      </c>
      <c r="D27" t="s">
        <v>693</v>
      </c>
      <c r="E27" t="s">
        <v>37</v>
      </c>
    </row>
    <row r="28" spans="1:5">
      <c r="A28" s="4">
        <v>45940</v>
      </c>
      <c r="B28" s="65">
        <v>9.86</v>
      </c>
      <c r="C28" t="s">
        <v>691</v>
      </c>
      <c r="D28" t="s">
        <v>692</v>
      </c>
      <c r="E28" t="s">
        <v>37</v>
      </c>
    </row>
    <row r="29" spans="1:5">
      <c r="A29" s="28">
        <v>45943</v>
      </c>
      <c r="B29" s="66">
        <v>120.25</v>
      </c>
      <c r="C29" s="29" t="s">
        <v>691</v>
      </c>
      <c r="D29" s="29" t="s">
        <v>722</v>
      </c>
      <c r="E29" s="29" t="s">
        <v>723</v>
      </c>
    </row>
    <row r="30" spans="1:5">
      <c r="A30" s="28">
        <v>45947</v>
      </c>
      <c r="B30" s="66">
        <v>97</v>
      </c>
      <c r="C30" s="29" t="s">
        <v>664</v>
      </c>
      <c r="D30" s="29" t="s">
        <v>713</v>
      </c>
      <c r="E30" s="29" t="s">
        <v>712</v>
      </c>
    </row>
    <row r="31" spans="1:5">
      <c r="A31" s="28">
        <v>45947</v>
      </c>
      <c r="B31" s="66">
        <v>97</v>
      </c>
      <c r="C31" s="29" t="s">
        <v>664</v>
      </c>
      <c r="D31" s="29" t="s">
        <v>714</v>
      </c>
      <c r="E31" s="29" t="s">
        <v>715</v>
      </c>
    </row>
    <row r="32" spans="1:5">
      <c r="A32" s="28">
        <v>45947</v>
      </c>
      <c r="B32" s="66">
        <v>251.06</v>
      </c>
      <c r="C32" s="29" t="s">
        <v>664</v>
      </c>
      <c r="D32" s="29" t="s">
        <v>716</v>
      </c>
      <c r="E32" s="29" t="s">
        <v>717</v>
      </c>
    </row>
    <row r="33" spans="1:5">
      <c r="A33" s="28">
        <v>45947</v>
      </c>
      <c r="B33" s="66">
        <v>1039.0899999999999</v>
      </c>
      <c r="C33" s="29" t="s">
        <v>718</v>
      </c>
      <c r="D33" s="29" t="s">
        <v>719</v>
      </c>
      <c r="E33" s="29" t="s">
        <v>720</v>
      </c>
    </row>
    <row r="34" spans="1:5">
      <c r="A34" s="28">
        <v>45947</v>
      </c>
      <c r="B34" s="66">
        <v>6.79</v>
      </c>
      <c r="C34" s="29" t="s">
        <v>718</v>
      </c>
      <c r="D34" s="29" t="s">
        <v>719</v>
      </c>
      <c r="E34" s="29" t="s">
        <v>721</v>
      </c>
    </row>
    <row r="35" spans="1:5">
      <c r="A35" s="4">
        <v>45948</v>
      </c>
      <c r="B35" s="66">
        <v>151.5</v>
      </c>
      <c r="C35" s="29" t="s">
        <v>738</v>
      </c>
      <c r="D35" s="29" t="s">
        <v>740</v>
      </c>
      <c r="E35" s="29" t="s">
        <v>739</v>
      </c>
    </row>
    <row r="36" spans="1:5">
      <c r="A36" s="4">
        <v>45958</v>
      </c>
      <c r="B36" s="66">
        <v>345.66</v>
      </c>
      <c r="C36" s="29" t="s">
        <v>277</v>
      </c>
      <c r="D36" s="29" t="s">
        <v>719</v>
      </c>
      <c r="E36" s="29" t="s">
        <v>777</v>
      </c>
    </row>
    <row r="37" spans="1:5">
      <c r="A37" s="4">
        <v>45966</v>
      </c>
      <c r="B37" s="66">
        <v>7178.74</v>
      </c>
      <c r="C37" s="29" t="s">
        <v>819</v>
      </c>
      <c r="D37" s="29" t="s">
        <v>820</v>
      </c>
      <c r="E37" s="29" t="s">
        <v>600</v>
      </c>
    </row>
    <row r="38" spans="1:5">
      <c r="A38" s="4">
        <v>45987</v>
      </c>
      <c r="B38" s="66">
        <v>71.44</v>
      </c>
      <c r="C38" s="29" t="s">
        <v>885</v>
      </c>
      <c r="D38" s="29" t="s">
        <v>887</v>
      </c>
      <c r="E38" s="29" t="s">
        <v>888</v>
      </c>
    </row>
    <row r="39" spans="1:5">
      <c r="A39" s="4">
        <v>45996</v>
      </c>
      <c r="B39" s="66">
        <v>7178.75</v>
      </c>
      <c r="C39" s="29" t="s">
        <v>885</v>
      </c>
      <c r="D39" s="29" t="s">
        <v>924</v>
      </c>
      <c r="E39" s="29" t="s">
        <v>600</v>
      </c>
    </row>
    <row r="40" spans="1:5">
      <c r="A40" s="4">
        <v>45997</v>
      </c>
      <c r="B40" s="66">
        <v>27.86</v>
      </c>
      <c r="C40" s="29" t="s">
        <v>546</v>
      </c>
      <c r="D40" s="29" t="s">
        <v>970</v>
      </c>
      <c r="E40" s="29" t="s">
        <v>971</v>
      </c>
    </row>
    <row r="41" spans="1:5">
      <c r="A41" s="4">
        <v>46006</v>
      </c>
      <c r="B41" s="66">
        <v>2500</v>
      </c>
      <c r="C41" s="29" t="s">
        <v>354</v>
      </c>
      <c r="D41" s="29" t="s">
        <v>992</v>
      </c>
      <c r="E41" s="29" t="s">
        <v>37</v>
      </c>
    </row>
    <row r="42" spans="1:5">
      <c r="A42" s="4">
        <v>46007</v>
      </c>
      <c r="B42" s="66">
        <v>5.29</v>
      </c>
      <c r="C42" s="29" t="s">
        <v>354</v>
      </c>
      <c r="D42" s="29" t="s">
        <v>1016</v>
      </c>
      <c r="E42" s="29" t="s">
        <v>23</v>
      </c>
    </row>
    <row r="43" spans="1:5">
      <c r="A43" s="4">
        <v>46010</v>
      </c>
      <c r="B43" s="66">
        <v>280</v>
      </c>
      <c r="C43" s="29" t="s">
        <v>277</v>
      </c>
      <c r="D43" s="29" t="s">
        <v>993</v>
      </c>
      <c r="E43" s="29" t="s">
        <v>994</v>
      </c>
    </row>
    <row r="44" spans="1:5">
      <c r="A44" s="4">
        <v>46012</v>
      </c>
      <c r="B44" s="66">
        <v>135.04</v>
      </c>
      <c r="C44" t="s">
        <v>279</v>
      </c>
      <c r="D44" t="s">
        <v>886</v>
      </c>
      <c r="E44" s="29" t="s">
        <v>22</v>
      </c>
    </row>
    <row r="45" spans="1:5">
      <c r="A45" s="4">
        <v>46022</v>
      </c>
      <c r="B45" s="66">
        <v>92.36</v>
      </c>
      <c r="C45" s="29" t="s">
        <v>277</v>
      </c>
      <c r="D45" t="s">
        <v>692</v>
      </c>
      <c r="E45" s="29" t="s">
        <v>37</v>
      </c>
    </row>
    <row r="46" spans="1:5">
      <c r="A46" s="4">
        <v>46023</v>
      </c>
      <c r="B46" s="66">
        <v>55.1</v>
      </c>
      <c r="C46" s="29" t="s">
        <v>1043</v>
      </c>
      <c r="D46" s="29" t="s">
        <v>1045</v>
      </c>
      <c r="E46" s="29" t="s">
        <v>1044</v>
      </c>
    </row>
    <row r="47" spans="1:5">
      <c r="A47" s="4">
        <v>46023</v>
      </c>
      <c r="B47" s="66">
        <v>100</v>
      </c>
      <c r="C47" s="29" t="s">
        <v>1046</v>
      </c>
      <c r="D47" s="29" t="s">
        <v>1047</v>
      </c>
      <c r="E47" s="29" t="s">
        <v>1044</v>
      </c>
    </row>
    <row r="48" spans="1:5">
      <c r="A48" s="4">
        <v>46027</v>
      </c>
      <c r="B48" s="66">
        <v>7178.75</v>
      </c>
      <c r="C48" s="29" t="s">
        <v>1048</v>
      </c>
      <c r="D48" s="29" t="s">
        <v>1049</v>
      </c>
      <c r="E48" s="29" t="s">
        <v>37</v>
      </c>
    </row>
    <row r="49" spans="1:1">
      <c r="A49" s="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E4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5" sqref="F5"/>
    </sheetView>
  </sheetViews>
  <sheetFormatPr defaultRowHeight="13.8"/>
  <cols>
    <col min="1" max="1" width="11.21875" bestFit="1" customWidth="1"/>
    <col min="2" max="2" width="9.5546875" bestFit="1" customWidth="1"/>
    <col min="3" max="3" width="9.44140625" bestFit="1" customWidth="1"/>
    <col min="4" max="5" width="10.5546875" bestFit="1" customWidth="1"/>
    <col min="6" max="6" width="12.77734375" bestFit="1" customWidth="1"/>
    <col min="7" max="7" width="9.5546875" bestFit="1" customWidth="1"/>
    <col min="8" max="8" width="8.44140625" bestFit="1" customWidth="1"/>
    <col min="9" max="9" width="10" bestFit="1" customWidth="1"/>
    <col min="10" max="10" width="9.44140625" bestFit="1" customWidth="1"/>
    <col min="11" max="11" width="10" bestFit="1" customWidth="1"/>
    <col min="12" max="12" width="8.44140625" bestFit="1" customWidth="1"/>
    <col min="13" max="13" width="10.44140625" bestFit="1" customWidth="1"/>
    <col min="14" max="14" width="9.44140625" bestFit="1" customWidth="1"/>
    <col min="15" max="15" width="10" bestFit="1" customWidth="1"/>
    <col min="16" max="18" width="9.5546875" customWidth="1"/>
    <col min="19" max="19" width="9.44140625" bestFit="1" customWidth="1"/>
    <col min="20" max="20" width="8.44140625" bestFit="1" customWidth="1"/>
    <col min="21" max="21" width="10" style="50" customWidth="1"/>
    <col min="22" max="22" width="12.33203125" customWidth="1"/>
    <col min="23" max="23" width="12.44140625" customWidth="1"/>
    <col min="24" max="24" width="12.33203125" customWidth="1"/>
    <col min="25" max="25" width="12.33203125" style="20" customWidth="1"/>
    <col min="26" max="26" width="11.33203125" customWidth="1"/>
    <col min="27" max="27" width="12.77734375" style="20" customWidth="1"/>
    <col min="28" max="28" width="10.44140625" customWidth="1"/>
    <col min="29" max="29" width="9.44140625" bestFit="1" customWidth="1"/>
    <col min="30" max="30" width="12.77734375" customWidth="1"/>
  </cols>
  <sheetData>
    <row r="1" spans="1:31">
      <c r="A1" t="s">
        <v>9</v>
      </c>
      <c r="B1" s="12" t="s">
        <v>1068</v>
      </c>
      <c r="C1" s="12" t="s">
        <v>1069</v>
      </c>
      <c r="D1" s="12" t="s">
        <v>1070</v>
      </c>
      <c r="E1" s="12" t="s">
        <v>1071</v>
      </c>
      <c r="F1" s="12" t="s">
        <v>1072</v>
      </c>
      <c r="G1" t="s">
        <v>564</v>
      </c>
      <c r="H1" t="s">
        <v>0</v>
      </c>
      <c r="I1" t="s">
        <v>598</v>
      </c>
      <c r="J1" s="1" t="s">
        <v>2</v>
      </c>
      <c r="K1" s="2" t="s">
        <v>3</v>
      </c>
      <c r="L1" s="2" t="s">
        <v>4</v>
      </c>
      <c r="M1" s="2" t="s">
        <v>5</v>
      </c>
      <c r="N1" s="2" t="s">
        <v>6</v>
      </c>
      <c r="O1" s="2" t="s">
        <v>12</v>
      </c>
      <c r="P1" s="19" t="s">
        <v>636</v>
      </c>
      <c r="Q1" s="19" t="s">
        <v>637</v>
      </c>
      <c r="R1" s="12" t="s">
        <v>565</v>
      </c>
      <c r="S1" s="27" t="s">
        <v>13</v>
      </c>
      <c r="T1" s="27" t="s">
        <v>638</v>
      </c>
      <c r="U1" s="44" t="s">
        <v>1021</v>
      </c>
      <c r="V1" t="s">
        <v>639</v>
      </c>
      <c r="W1" t="s">
        <v>640</v>
      </c>
      <c r="X1" t="s">
        <v>695</v>
      </c>
      <c r="Y1" s="20" t="s">
        <v>729</v>
      </c>
      <c r="Z1" t="s">
        <v>890</v>
      </c>
      <c r="AA1" t="s">
        <v>891</v>
      </c>
    </row>
    <row r="2" spans="1:31">
      <c r="A2" s="4">
        <v>45803</v>
      </c>
      <c r="B2" s="45">
        <v>0</v>
      </c>
      <c r="C2" s="45">
        <v>0</v>
      </c>
      <c r="D2" s="45">
        <v>0</v>
      </c>
      <c r="E2" s="45">
        <v>0</v>
      </c>
      <c r="F2" s="45">
        <v>0</v>
      </c>
      <c r="G2" s="20">
        <v>0</v>
      </c>
      <c r="H2" s="20">
        <v>786.8</v>
      </c>
      <c r="I2" s="20">
        <v>136.25</v>
      </c>
      <c r="J2" s="20">
        <v>8071.79</v>
      </c>
      <c r="K2" s="20">
        <v>248.86</v>
      </c>
      <c r="L2" s="20">
        <v>1952.83</v>
      </c>
      <c r="M2" s="20">
        <v>146719.07999999999</v>
      </c>
      <c r="N2" s="20">
        <v>91.61</v>
      </c>
      <c r="O2" s="20">
        <v>0</v>
      </c>
      <c r="P2" s="21"/>
      <c r="Q2" s="21"/>
      <c r="R2" s="22">
        <v>0</v>
      </c>
      <c r="S2" s="26"/>
      <c r="T2" s="26"/>
      <c r="U2" s="47"/>
      <c r="V2" s="12" t="s">
        <v>727</v>
      </c>
    </row>
    <row r="3" spans="1:31">
      <c r="A3" s="4">
        <v>45825</v>
      </c>
      <c r="B3" s="45">
        <v>0</v>
      </c>
      <c r="C3" s="45">
        <v>-15.44</v>
      </c>
      <c r="D3" s="45">
        <v>0</v>
      </c>
      <c r="E3" s="45">
        <v>0</v>
      </c>
      <c r="F3" s="45">
        <v>0</v>
      </c>
      <c r="G3" s="20">
        <v>0</v>
      </c>
      <c r="H3" s="20">
        <v>4020.36</v>
      </c>
      <c r="I3" s="20">
        <v>9.4499999999999993</v>
      </c>
      <c r="J3" s="20">
        <v>4498.82</v>
      </c>
      <c r="K3" s="20">
        <v>248.86</v>
      </c>
      <c r="L3" s="20">
        <v>1952.83</v>
      </c>
      <c r="M3" s="20">
        <v>146719.07999999999</v>
      </c>
      <c r="N3" s="20">
        <v>91.61</v>
      </c>
      <c r="O3" s="20">
        <v>0</v>
      </c>
      <c r="P3" s="21"/>
      <c r="Q3" s="21"/>
      <c r="R3" s="22">
        <v>0</v>
      </c>
      <c r="S3" s="26"/>
      <c r="T3" s="26"/>
      <c r="U3" s="47"/>
    </row>
    <row r="4" spans="1:31" s="24" customFormat="1">
      <c r="A4" s="25">
        <v>45839</v>
      </c>
      <c r="B4" s="46">
        <v>-28.69</v>
      </c>
      <c r="C4" s="46">
        <v>-1667.75</v>
      </c>
      <c r="D4" s="46">
        <v>0</v>
      </c>
      <c r="E4" s="46">
        <v>0</v>
      </c>
      <c r="F4" s="46">
        <v>0</v>
      </c>
      <c r="G4" s="30">
        <v>0</v>
      </c>
      <c r="H4" s="30">
        <v>479.08</v>
      </c>
      <c r="I4" s="30">
        <v>5.0199999999999996</v>
      </c>
      <c r="J4" s="30">
        <v>2342.79</v>
      </c>
      <c r="K4" s="30">
        <v>248.86</v>
      </c>
      <c r="L4" s="30">
        <v>1952.83</v>
      </c>
      <c r="M4" s="30">
        <v>91523.599999999991</v>
      </c>
      <c r="N4" s="30">
        <v>91.61</v>
      </c>
      <c r="O4" s="30">
        <v>8.9600000000000009</v>
      </c>
      <c r="P4" s="31">
        <v>50000</v>
      </c>
      <c r="Q4" s="31">
        <v>5204.5200000000004</v>
      </c>
      <c r="R4" s="32">
        <v>0</v>
      </c>
      <c r="S4" s="33">
        <v>4000</v>
      </c>
      <c r="T4" s="33">
        <v>2500</v>
      </c>
      <c r="U4" s="48"/>
      <c r="V4" s="30">
        <f t="shared" ref="V4:V38" si="0">SUM(B4:O4)</f>
        <v>94956.31</v>
      </c>
      <c r="W4" s="30">
        <f t="shared" ref="W4:W27" si="1">SUM(B4:Q4)</f>
        <v>150160.82999999999</v>
      </c>
      <c r="X4" s="34">
        <f t="shared" ref="X4:X27" si="2">SUM(B4:S4)</f>
        <v>154160.82999999999</v>
      </c>
      <c r="Y4" s="43">
        <f>X4-$AE$4</f>
        <v>12637.239999999991</v>
      </c>
      <c r="AA4" s="30"/>
      <c r="AD4" s="35" t="s">
        <v>226</v>
      </c>
      <c r="AE4" s="36">
        <v>141523.59</v>
      </c>
    </row>
    <row r="5" spans="1:31">
      <c r="A5" s="4">
        <v>45843</v>
      </c>
      <c r="B5" s="45">
        <v>-28.69</v>
      </c>
      <c r="C5" s="45">
        <v>-1667.75</v>
      </c>
      <c r="D5" s="45">
        <v>0</v>
      </c>
      <c r="E5" s="45">
        <v>0</v>
      </c>
      <c r="F5" s="45">
        <v>0</v>
      </c>
      <c r="G5" s="20">
        <v>0</v>
      </c>
      <c r="H5" s="20">
        <v>42.63</v>
      </c>
      <c r="I5" s="20">
        <v>5.0199999999999996</v>
      </c>
      <c r="J5" s="20">
        <v>2342.79</v>
      </c>
      <c r="K5" s="20">
        <v>248.86</v>
      </c>
      <c r="L5" s="20">
        <v>1952.83</v>
      </c>
      <c r="M5" s="20">
        <v>91523.599999999991</v>
      </c>
      <c r="N5" s="20">
        <v>91.61</v>
      </c>
      <c r="O5" s="20">
        <v>6799.71</v>
      </c>
      <c r="P5" s="21">
        <v>50000</v>
      </c>
      <c r="Q5" s="21">
        <v>5204.5200000000004</v>
      </c>
      <c r="R5" s="22">
        <v>0</v>
      </c>
      <c r="S5" s="26">
        <v>4000</v>
      </c>
      <c r="T5" s="26">
        <v>2500</v>
      </c>
      <c r="U5" s="47"/>
      <c r="V5" s="20">
        <f t="shared" si="0"/>
        <v>101310.61</v>
      </c>
      <c r="W5" s="20">
        <f t="shared" si="1"/>
        <v>156515.12999999998</v>
      </c>
      <c r="X5" s="23">
        <f t="shared" si="2"/>
        <v>160515.12999999998</v>
      </c>
      <c r="Y5" s="37">
        <f t="shared" ref="Y5:Y24" si="3">X5-$AE$4</f>
        <v>18991.539999999979</v>
      </c>
      <c r="Z5" s="20"/>
      <c r="AD5" s="5"/>
      <c r="AE5" s="5"/>
    </row>
    <row r="6" spans="1:31">
      <c r="A6" s="4">
        <v>45850</v>
      </c>
      <c r="B6" s="45">
        <v>-232.69</v>
      </c>
      <c r="C6" s="45">
        <v>-1667.75</v>
      </c>
      <c r="D6" s="45">
        <v>-30.42</v>
      </c>
      <c r="E6" s="45">
        <v>0</v>
      </c>
      <c r="F6" s="45">
        <v>-5000</v>
      </c>
      <c r="G6" s="20">
        <v>0</v>
      </c>
      <c r="H6" s="20">
        <v>2020.14</v>
      </c>
      <c r="I6" s="20">
        <v>7089.51</v>
      </c>
      <c r="J6" s="20">
        <v>1.63</v>
      </c>
      <c r="K6" s="20">
        <v>0.89</v>
      </c>
      <c r="L6" s="20">
        <v>0.08</v>
      </c>
      <c r="M6" s="20">
        <v>91523.599999999991</v>
      </c>
      <c r="N6" s="20">
        <v>91.62</v>
      </c>
      <c r="O6" s="20">
        <v>6799.71</v>
      </c>
      <c r="P6" s="21">
        <v>50000</v>
      </c>
      <c r="Q6" s="21">
        <v>5204.5200000000004</v>
      </c>
      <c r="R6" s="22">
        <v>0</v>
      </c>
      <c r="S6" s="26">
        <v>4000</v>
      </c>
      <c r="T6" s="26">
        <v>2500</v>
      </c>
      <c r="U6" s="47"/>
      <c r="V6" s="20">
        <f t="shared" si="0"/>
        <v>100596.31999999999</v>
      </c>
      <c r="W6" s="20">
        <f t="shared" si="1"/>
        <v>155800.84</v>
      </c>
      <c r="X6" s="23">
        <f t="shared" si="2"/>
        <v>159800.84</v>
      </c>
      <c r="Y6" s="37">
        <f t="shared" si="3"/>
        <v>18277.25</v>
      </c>
      <c r="Z6" s="20"/>
    </row>
    <row r="7" spans="1:31">
      <c r="A7" s="4">
        <v>45854</v>
      </c>
      <c r="B7" s="45">
        <v>-616.30999999999995</v>
      </c>
      <c r="C7" s="45">
        <v>-1680.65</v>
      </c>
      <c r="D7" s="45">
        <v>-30.42</v>
      </c>
      <c r="E7" s="45">
        <v>0</v>
      </c>
      <c r="F7" s="45">
        <v>-5000</v>
      </c>
      <c r="G7" s="20">
        <v>0</v>
      </c>
      <c r="H7" s="20">
        <v>1814.57</v>
      </c>
      <c r="I7" s="20">
        <v>7090.65</v>
      </c>
      <c r="J7" s="20">
        <v>1.63</v>
      </c>
      <c r="K7" s="20">
        <v>0.89</v>
      </c>
      <c r="L7" s="20">
        <v>0.08</v>
      </c>
      <c r="M7" s="20">
        <v>91523.599999999991</v>
      </c>
      <c r="N7" s="20">
        <v>91.62</v>
      </c>
      <c r="O7" s="20">
        <v>7899.71</v>
      </c>
      <c r="P7" s="21">
        <v>50000</v>
      </c>
      <c r="Q7" s="21">
        <v>5204.5200000000004</v>
      </c>
      <c r="R7" s="22">
        <v>0</v>
      </c>
      <c r="S7" s="26">
        <v>4000</v>
      </c>
      <c r="T7" s="26">
        <v>2500</v>
      </c>
      <c r="U7" s="47"/>
      <c r="V7" s="20">
        <f t="shared" si="0"/>
        <v>101095.37</v>
      </c>
      <c r="W7" s="20">
        <f t="shared" si="1"/>
        <v>156299.88999999998</v>
      </c>
      <c r="X7" s="23">
        <f t="shared" si="2"/>
        <v>160299.88999999998</v>
      </c>
      <c r="Y7" s="37">
        <f t="shared" si="3"/>
        <v>18776.299999999988</v>
      </c>
      <c r="Z7" s="20"/>
    </row>
    <row r="8" spans="1:31">
      <c r="A8" s="4">
        <v>45859</v>
      </c>
      <c r="B8" s="45">
        <v>-604.94000000000005</v>
      </c>
      <c r="C8" s="45">
        <v>-1527.49</v>
      </c>
      <c r="D8" s="45">
        <v>-30.42</v>
      </c>
      <c r="E8" s="45">
        <v>0</v>
      </c>
      <c r="F8" s="45">
        <v>-5000</v>
      </c>
      <c r="G8" s="20">
        <v>0</v>
      </c>
      <c r="H8" s="20">
        <v>2644.45</v>
      </c>
      <c r="I8" s="20">
        <v>8573.06</v>
      </c>
      <c r="J8" s="20">
        <v>1.63</v>
      </c>
      <c r="K8" s="20">
        <v>0.89</v>
      </c>
      <c r="L8" s="20">
        <v>0.08</v>
      </c>
      <c r="M8" s="20">
        <v>84002.159999999989</v>
      </c>
      <c r="N8" s="20">
        <v>91.62</v>
      </c>
      <c r="O8" s="20">
        <v>13727.37</v>
      </c>
      <c r="P8" s="21">
        <v>50000</v>
      </c>
      <c r="Q8" s="21">
        <v>5204.5200000000004</v>
      </c>
      <c r="R8" s="22">
        <v>0</v>
      </c>
      <c r="S8" s="26">
        <v>4000</v>
      </c>
      <c r="T8" s="26">
        <v>2500</v>
      </c>
      <c r="U8" s="47"/>
      <c r="V8" s="20">
        <f t="shared" si="0"/>
        <v>101878.40999999997</v>
      </c>
      <c r="W8" s="20">
        <f t="shared" si="1"/>
        <v>157082.92999999996</v>
      </c>
      <c r="X8" s="23">
        <f t="shared" si="2"/>
        <v>161082.92999999996</v>
      </c>
      <c r="Y8" s="37">
        <f t="shared" si="3"/>
        <v>19559.339999999967</v>
      </c>
      <c r="Z8" s="20"/>
    </row>
    <row r="9" spans="1:31">
      <c r="A9" s="4">
        <v>45860</v>
      </c>
      <c r="B9" s="45">
        <v>-303.93</v>
      </c>
      <c r="C9" s="45">
        <v>-1527.49</v>
      </c>
      <c r="D9" s="45">
        <v>-30.42</v>
      </c>
      <c r="E9" s="45">
        <v>0</v>
      </c>
      <c r="F9" s="45">
        <v>-5000</v>
      </c>
      <c r="G9" s="20">
        <v>0</v>
      </c>
      <c r="H9" s="20">
        <v>2637.25</v>
      </c>
      <c r="I9" s="20">
        <v>8573.34</v>
      </c>
      <c r="J9" s="20">
        <v>1.63</v>
      </c>
      <c r="K9" s="20">
        <v>0.89</v>
      </c>
      <c r="L9" s="20">
        <v>0.08</v>
      </c>
      <c r="M9" s="20">
        <v>81002.159999999989</v>
      </c>
      <c r="N9" s="20">
        <v>91.62</v>
      </c>
      <c r="O9" s="20">
        <v>17527.37</v>
      </c>
      <c r="P9" s="21">
        <v>50000</v>
      </c>
      <c r="Q9" s="21">
        <v>5204.5200000000004</v>
      </c>
      <c r="R9" s="22">
        <v>0</v>
      </c>
      <c r="S9" s="26">
        <v>4000</v>
      </c>
      <c r="T9" s="26">
        <v>2500</v>
      </c>
      <c r="U9" s="47"/>
      <c r="V9" s="20">
        <f t="shared" si="0"/>
        <v>102972.49999999999</v>
      </c>
      <c r="W9" s="20">
        <f t="shared" si="1"/>
        <v>158177.01999999999</v>
      </c>
      <c r="X9" s="23">
        <f t="shared" si="2"/>
        <v>162177.01999999999</v>
      </c>
      <c r="Y9" s="37">
        <f t="shared" si="3"/>
        <v>20653.429999999993</v>
      </c>
      <c r="Z9" s="20"/>
    </row>
    <row r="10" spans="1:31" s="24" customFormat="1">
      <c r="A10" s="25">
        <v>45869</v>
      </c>
      <c r="B10" s="46">
        <v>-367.02</v>
      </c>
      <c r="C10" s="46">
        <v>-1527.49</v>
      </c>
      <c r="D10" s="46">
        <v>-30.42</v>
      </c>
      <c r="E10" s="46">
        <v>0</v>
      </c>
      <c r="F10" s="46">
        <v>-5000</v>
      </c>
      <c r="G10" s="30">
        <v>0</v>
      </c>
      <c r="H10" s="30">
        <v>2161.75</v>
      </c>
      <c r="I10" s="30">
        <v>8545.99</v>
      </c>
      <c r="J10" s="30">
        <v>1.63</v>
      </c>
      <c r="K10" s="30">
        <v>0.89</v>
      </c>
      <c r="L10" s="30">
        <v>0.08</v>
      </c>
      <c r="M10" s="30">
        <v>69002.159999999989</v>
      </c>
      <c r="N10" s="30">
        <v>91.61</v>
      </c>
      <c r="O10" s="30">
        <v>29526.86</v>
      </c>
      <c r="P10" s="31">
        <v>50000</v>
      </c>
      <c r="Q10" s="31">
        <v>5204.5200000000004</v>
      </c>
      <c r="R10" s="32">
        <v>0</v>
      </c>
      <c r="S10" s="33">
        <v>4000</v>
      </c>
      <c r="T10" s="33">
        <v>2500</v>
      </c>
      <c r="U10" s="48"/>
      <c r="V10" s="30">
        <f t="shared" si="0"/>
        <v>102406.04</v>
      </c>
      <c r="W10" s="30">
        <f t="shared" si="1"/>
        <v>157610.55999999997</v>
      </c>
      <c r="X10" s="34">
        <f t="shared" si="2"/>
        <v>161610.55999999997</v>
      </c>
      <c r="Y10" s="30">
        <f t="shared" si="3"/>
        <v>20086.969999999972</v>
      </c>
      <c r="Z10" s="30"/>
      <c r="AA10" s="30"/>
    </row>
    <row r="11" spans="1:31">
      <c r="A11" s="4">
        <v>45877</v>
      </c>
      <c r="B11" s="45">
        <v>-407.48</v>
      </c>
      <c r="C11" s="45">
        <v>-1527.49</v>
      </c>
      <c r="D11" s="45">
        <v>0</v>
      </c>
      <c r="E11" s="45">
        <v>0</v>
      </c>
      <c r="F11" s="45">
        <v>-4195.6499999999996</v>
      </c>
      <c r="G11" s="20">
        <v>0</v>
      </c>
      <c r="H11" s="20">
        <v>1845.59</v>
      </c>
      <c r="I11" s="20">
        <v>8517.98</v>
      </c>
      <c r="J11" s="20">
        <v>2197.2800000000002</v>
      </c>
      <c r="K11" s="20">
        <v>0.89</v>
      </c>
      <c r="L11" s="20">
        <v>0.08</v>
      </c>
      <c r="M11" s="20">
        <v>66002.159999999989</v>
      </c>
      <c r="N11" s="20">
        <v>91.61</v>
      </c>
      <c r="O11" s="20">
        <v>34747.699999999997</v>
      </c>
      <c r="P11" s="21">
        <v>50000</v>
      </c>
      <c r="Q11" s="21">
        <v>5204.5200000000004</v>
      </c>
      <c r="R11" s="22">
        <v>0</v>
      </c>
      <c r="S11" s="26">
        <v>4000</v>
      </c>
      <c r="T11" s="26">
        <v>2500</v>
      </c>
      <c r="U11" s="47"/>
      <c r="V11" s="20">
        <f t="shared" si="0"/>
        <v>107272.66999999998</v>
      </c>
      <c r="W11" s="20">
        <f t="shared" si="1"/>
        <v>162477.18999999997</v>
      </c>
      <c r="X11" s="23">
        <f t="shared" si="2"/>
        <v>166477.18999999997</v>
      </c>
      <c r="Y11" s="37">
        <f t="shared" si="3"/>
        <v>24953.599999999977</v>
      </c>
      <c r="Z11" s="20"/>
    </row>
    <row r="12" spans="1:31">
      <c r="A12" s="4">
        <v>45884</v>
      </c>
      <c r="B12" s="45">
        <v>-441.09</v>
      </c>
      <c r="C12" s="45">
        <v>-1527.49</v>
      </c>
      <c r="D12" s="45">
        <v>0</v>
      </c>
      <c r="E12" s="45">
        <v>0</v>
      </c>
      <c r="F12" s="45">
        <v>-4195.6499999999996</v>
      </c>
      <c r="G12" s="20">
        <v>0</v>
      </c>
      <c r="H12" s="20">
        <v>1570.5</v>
      </c>
      <c r="I12" s="20">
        <v>8479.0300000000007</v>
      </c>
      <c r="J12" s="20">
        <v>2197.2800000000002</v>
      </c>
      <c r="K12" s="20">
        <v>0.89</v>
      </c>
      <c r="L12" s="20">
        <v>0.08</v>
      </c>
      <c r="M12" s="20">
        <v>66002.159999999989</v>
      </c>
      <c r="N12" s="20">
        <v>91.61</v>
      </c>
      <c r="O12" s="20">
        <v>35834.71</v>
      </c>
      <c r="P12" s="21">
        <v>50000</v>
      </c>
      <c r="Q12" s="21">
        <v>5204.5200000000004</v>
      </c>
      <c r="R12" s="22">
        <v>0</v>
      </c>
      <c r="S12" s="26">
        <v>4000</v>
      </c>
      <c r="T12" s="26">
        <v>2500</v>
      </c>
      <c r="U12" s="47"/>
      <c r="V12" s="20">
        <f t="shared" si="0"/>
        <v>108012.03</v>
      </c>
      <c r="W12" s="20">
        <f t="shared" si="1"/>
        <v>163216.54999999999</v>
      </c>
      <c r="X12" s="23">
        <f t="shared" si="2"/>
        <v>167216.54999999999</v>
      </c>
      <c r="Y12" s="37">
        <f t="shared" si="3"/>
        <v>25692.959999999992</v>
      </c>
      <c r="Z12" s="20"/>
    </row>
    <row r="13" spans="1:31">
      <c r="A13" s="4">
        <v>45891</v>
      </c>
      <c r="B13" s="45">
        <v>-79.260000000000005</v>
      </c>
      <c r="C13" s="45">
        <v>-1376.9</v>
      </c>
      <c r="D13" s="45">
        <v>0</v>
      </c>
      <c r="E13" s="45">
        <v>0</v>
      </c>
      <c r="F13" s="45">
        <v>-4195.6499999999996</v>
      </c>
      <c r="G13" s="20">
        <v>0</v>
      </c>
      <c r="H13" s="20">
        <v>1492</v>
      </c>
      <c r="I13" s="20">
        <v>8465.24</v>
      </c>
      <c r="J13" s="20">
        <v>5184.59</v>
      </c>
      <c r="K13" s="20">
        <v>0.89</v>
      </c>
      <c r="L13" s="20">
        <v>0.08</v>
      </c>
      <c r="M13" s="20">
        <v>51002.159999999989</v>
      </c>
      <c r="N13" s="20">
        <v>91.61</v>
      </c>
      <c r="O13" s="20">
        <v>44276.639999999999</v>
      </c>
      <c r="P13" s="21">
        <v>50000</v>
      </c>
      <c r="Q13" s="21">
        <v>5204.5200000000004</v>
      </c>
      <c r="R13" s="22">
        <v>0</v>
      </c>
      <c r="S13" s="26">
        <v>7000</v>
      </c>
      <c r="T13" s="26">
        <v>2500</v>
      </c>
      <c r="U13" s="47"/>
      <c r="V13" s="20">
        <f t="shared" si="0"/>
        <v>104861.4</v>
      </c>
      <c r="W13" s="20">
        <f t="shared" si="1"/>
        <v>160065.91999999998</v>
      </c>
      <c r="X13" s="23">
        <f t="shared" si="2"/>
        <v>167065.91999999998</v>
      </c>
      <c r="Y13" s="37">
        <f t="shared" si="3"/>
        <v>25542.329999999987</v>
      </c>
      <c r="Z13" s="20"/>
    </row>
    <row r="14" spans="1:31" s="24" customFormat="1">
      <c r="A14" s="25">
        <v>45900</v>
      </c>
      <c r="B14" s="46">
        <v>-82.26</v>
      </c>
      <c r="C14" s="46">
        <v>-1376.9</v>
      </c>
      <c r="D14" s="46">
        <v>0</v>
      </c>
      <c r="E14" s="46">
        <v>0</v>
      </c>
      <c r="F14" s="46">
        <v>-4195.6499999999996</v>
      </c>
      <c r="G14" s="30">
        <v>0</v>
      </c>
      <c r="H14" s="30">
        <v>1110.1199999999999</v>
      </c>
      <c r="I14" s="30">
        <v>8228.69</v>
      </c>
      <c r="J14" s="30">
        <v>5184.59</v>
      </c>
      <c r="K14" s="30">
        <v>0.89</v>
      </c>
      <c r="L14" s="30">
        <v>0.08</v>
      </c>
      <c r="M14" s="30">
        <v>50000</v>
      </c>
      <c r="N14" s="30">
        <v>91.61</v>
      </c>
      <c r="O14" s="30">
        <v>43278.8</v>
      </c>
      <c r="P14" s="31">
        <v>50000</v>
      </c>
      <c r="Q14" s="31">
        <v>5204.5200000000004</v>
      </c>
      <c r="R14" s="32">
        <v>0</v>
      </c>
      <c r="S14" s="33">
        <v>9000</v>
      </c>
      <c r="T14" s="33">
        <v>2500</v>
      </c>
      <c r="U14" s="48"/>
      <c r="V14" s="30">
        <f t="shared" si="0"/>
        <v>102239.97</v>
      </c>
      <c r="W14" s="30">
        <f t="shared" si="1"/>
        <v>157444.49</v>
      </c>
      <c r="X14" s="34">
        <f t="shared" si="2"/>
        <v>166444.49</v>
      </c>
      <c r="Y14" s="30">
        <f t="shared" si="3"/>
        <v>24920.899999999994</v>
      </c>
      <c r="Z14" s="30"/>
      <c r="AA14" s="30"/>
    </row>
    <row r="15" spans="1:31">
      <c r="A15" s="4">
        <v>45905</v>
      </c>
      <c r="B15" s="45">
        <v>-82.26</v>
      </c>
      <c r="C15" s="45">
        <v>-1399.39</v>
      </c>
      <c r="D15" s="45">
        <v>0</v>
      </c>
      <c r="E15" s="45">
        <v>-47.3</v>
      </c>
      <c r="F15" s="45">
        <v>-4195.6499999999996</v>
      </c>
      <c r="G15" s="20">
        <v>0</v>
      </c>
      <c r="H15" s="20">
        <v>528.05999999999995</v>
      </c>
      <c r="I15" s="20">
        <v>13230.51</v>
      </c>
      <c r="J15" s="20">
        <v>184.59</v>
      </c>
      <c r="K15" s="20">
        <v>0.89</v>
      </c>
      <c r="L15" s="20">
        <v>0.08</v>
      </c>
      <c r="M15" s="20">
        <v>50000</v>
      </c>
      <c r="N15" s="20">
        <v>91.61</v>
      </c>
      <c r="O15" s="20">
        <v>48983.15</v>
      </c>
      <c r="P15" s="21">
        <v>50000</v>
      </c>
      <c r="Q15" s="21">
        <v>5204.5200000000004</v>
      </c>
      <c r="R15" s="22">
        <v>0</v>
      </c>
      <c r="S15" s="26">
        <v>9000</v>
      </c>
      <c r="T15" s="26">
        <v>2500</v>
      </c>
      <c r="U15" s="47"/>
      <c r="V15" s="20">
        <f t="shared" si="0"/>
        <v>107294.29000000001</v>
      </c>
      <c r="W15" s="20">
        <f t="shared" si="1"/>
        <v>162498.81</v>
      </c>
      <c r="X15" s="23">
        <f t="shared" si="2"/>
        <v>171498.81</v>
      </c>
      <c r="Y15" s="37">
        <f t="shared" si="3"/>
        <v>29975.22</v>
      </c>
      <c r="Z15" s="20"/>
    </row>
    <row r="16" spans="1:31">
      <c r="A16" s="4">
        <v>45914</v>
      </c>
      <c r="B16" s="45">
        <v>-82.26</v>
      </c>
      <c r="C16" s="45">
        <v>-1470.37</v>
      </c>
      <c r="D16" s="45">
        <v>0</v>
      </c>
      <c r="E16" s="45">
        <v>-47.3</v>
      </c>
      <c r="F16" s="45">
        <v>-3380.07</v>
      </c>
      <c r="G16" s="20">
        <v>9.9</v>
      </c>
      <c r="H16" s="20">
        <v>222.23</v>
      </c>
      <c r="I16" s="20">
        <v>12416.36</v>
      </c>
      <c r="J16" s="20">
        <v>69.010000000000005</v>
      </c>
      <c r="K16" s="20">
        <v>0.89</v>
      </c>
      <c r="L16" s="20">
        <v>0.08</v>
      </c>
      <c r="M16" s="20">
        <v>50000</v>
      </c>
      <c r="N16" s="20">
        <v>91.61</v>
      </c>
      <c r="O16" s="20">
        <v>33982.839999999997</v>
      </c>
      <c r="P16" s="21">
        <v>50000</v>
      </c>
      <c r="Q16" s="21">
        <v>5204.5200000000004</v>
      </c>
      <c r="R16" s="22">
        <v>15000</v>
      </c>
      <c r="S16" s="26">
        <v>9000</v>
      </c>
      <c r="T16" s="26">
        <v>2500</v>
      </c>
      <c r="U16" s="47"/>
      <c r="V16" s="20">
        <f t="shared" si="0"/>
        <v>91812.92</v>
      </c>
      <c r="W16" s="20">
        <f t="shared" si="1"/>
        <v>147017.43999999997</v>
      </c>
      <c r="X16" s="23">
        <f t="shared" si="2"/>
        <v>171017.43999999997</v>
      </c>
      <c r="Y16" s="37">
        <f t="shared" si="3"/>
        <v>29493.849999999977</v>
      </c>
      <c r="Z16" s="20"/>
    </row>
    <row r="17" spans="1:29">
      <c r="A17" s="4">
        <v>45921</v>
      </c>
      <c r="B17" s="45">
        <v>0</v>
      </c>
      <c r="C17" s="45">
        <v>-1302.51</v>
      </c>
      <c r="D17" s="45">
        <v>-15.5</v>
      </c>
      <c r="E17" s="45">
        <v>-47.3</v>
      </c>
      <c r="F17" s="45">
        <v>-3380.07</v>
      </c>
      <c r="G17" s="20">
        <v>9.9</v>
      </c>
      <c r="H17" s="20">
        <v>77.319999999999993</v>
      </c>
      <c r="I17" s="20">
        <v>2385.85</v>
      </c>
      <c r="J17" s="20">
        <v>3000.25</v>
      </c>
      <c r="K17" s="20">
        <v>6001.74</v>
      </c>
      <c r="L17" s="20">
        <v>0.12</v>
      </c>
      <c r="M17" s="20">
        <v>29091.62</v>
      </c>
      <c r="N17" s="20">
        <v>3091.64</v>
      </c>
      <c r="O17" s="20">
        <v>38510.07</v>
      </c>
      <c r="P17" s="21">
        <v>50000</v>
      </c>
      <c r="Q17" s="21">
        <v>5204.5200000000004</v>
      </c>
      <c r="R17" s="22">
        <v>30000</v>
      </c>
      <c r="S17" s="26">
        <v>9000</v>
      </c>
      <c r="T17" s="26">
        <v>2500</v>
      </c>
      <c r="U17" s="47"/>
      <c r="V17" s="20">
        <f t="shared" si="0"/>
        <v>77423.13</v>
      </c>
      <c r="W17" s="20">
        <f t="shared" si="1"/>
        <v>132627.65</v>
      </c>
      <c r="X17" s="23">
        <f t="shared" si="2"/>
        <v>171627.65</v>
      </c>
      <c r="Y17" s="37">
        <f t="shared" si="3"/>
        <v>30104.059999999998</v>
      </c>
      <c r="Z17" s="20"/>
    </row>
    <row r="18" spans="1:29">
      <c r="A18" s="4">
        <v>45928</v>
      </c>
      <c r="B18" s="45">
        <v>0</v>
      </c>
      <c r="C18" s="45">
        <v>-1302.51</v>
      </c>
      <c r="D18" s="45">
        <v>-15.5</v>
      </c>
      <c r="E18" s="45">
        <v>-47.3</v>
      </c>
      <c r="F18" s="45">
        <v>-3380.07</v>
      </c>
      <c r="G18" s="20">
        <v>9.9</v>
      </c>
      <c r="H18" s="20">
        <v>771.17</v>
      </c>
      <c r="I18" s="20">
        <v>2258.9499999999998</v>
      </c>
      <c r="J18" s="20">
        <v>17000.25</v>
      </c>
      <c r="K18" s="20">
        <v>12001.74</v>
      </c>
      <c r="L18" s="20">
        <v>0.12</v>
      </c>
      <c r="M18" s="20">
        <v>14091.619999999999</v>
      </c>
      <c r="N18" s="20">
        <v>6091.64</v>
      </c>
      <c r="O18" s="20">
        <v>20491.07</v>
      </c>
      <c r="P18" s="21">
        <v>50000</v>
      </c>
      <c r="Q18" s="21">
        <v>5204.5200000000004</v>
      </c>
      <c r="R18" s="22">
        <v>50000</v>
      </c>
      <c r="S18" s="26">
        <v>0</v>
      </c>
      <c r="T18" s="26">
        <v>2500</v>
      </c>
      <c r="U18" s="47"/>
      <c r="V18" s="20">
        <f t="shared" si="0"/>
        <v>67971.079999999987</v>
      </c>
      <c r="W18" s="20">
        <f t="shared" si="1"/>
        <v>123175.59999999999</v>
      </c>
      <c r="X18" s="23">
        <f t="shared" si="2"/>
        <v>173175.59999999998</v>
      </c>
      <c r="Y18" s="37">
        <f t="shared" si="3"/>
        <v>31652.00999999998</v>
      </c>
      <c r="Z18" s="20"/>
    </row>
    <row r="19" spans="1:29" s="24" customFormat="1">
      <c r="A19" s="25">
        <v>45930</v>
      </c>
      <c r="B19" s="46">
        <v>0</v>
      </c>
      <c r="C19" s="46">
        <v>-1302.51</v>
      </c>
      <c r="D19" s="46">
        <v>-15.5</v>
      </c>
      <c r="E19" s="46">
        <v>-47.3</v>
      </c>
      <c r="F19" s="46">
        <v>-3380.07</v>
      </c>
      <c r="G19" s="30">
        <v>9.9</v>
      </c>
      <c r="H19" s="30">
        <v>739.86</v>
      </c>
      <c r="I19" s="30">
        <v>2039.99</v>
      </c>
      <c r="J19" s="30">
        <v>17000.25</v>
      </c>
      <c r="K19" s="30">
        <v>15001.74</v>
      </c>
      <c r="L19" s="30">
        <v>0.12</v>
      </c>
      <c r="M19" s="30">
        <v>5091.62</v>
      </c>
      <c r="N19" s="30">
        <v>12091.64</v>
      </c>
      <c r="O19" s="30">
        <v>20492.419999999998</v>
      </c>
      <c r="P19" s="31">
        <v>50000</v>
      </c>
      <c r="Q19" s="31">
        <v>5204.5200000000004</v>
      </c>
      <c r="R19" s="32">
        <v>50000</v>
      </c>
      <c r="S19" s="33">
        <v>0</v>
      </c>
      <c r="T19" s="33">
        <v>2500</v>
      </c>
      <c r="U19" s="48"/>
      <c r="V19" s="30">
        <f t="shared" si="0"/>
        <v>67722.16</v>
      </c>
      <c r="W19" s="30">
        <f t="shared" si="1"/>
        <v>122926.68000000001</v>
      </c>
      <c r="X19" s="34">
        <f t="shared" si="2"/>
        <v>172926.68</v>
      </c>
      <c r="Y19" s="30">
        <f t="shared" si="3"/>
        <v>31403.089999999997</v>
      </c>
      <c r="Z19" s="30"/>
      <c r="AA19" s="30"/>
    </row>
    <row r="20" spans="1:29">
      <c r="A20" s="4">
        <v>45935</v>
      </c>
      <c r="B20" s="45">
        <v>0</v>
      </c>
      <c r="C20" s="45">
        <v>-1302.51</v>
      </c>
      <c r="D20" s="45">
        <v>-15.5</v>
      </c>
      <c r="E20" s="45">
        <v>-47.3</v>
      </c>
      <c r="F20" s="45">
        <v>-3380.07</v>
      </c>
      <c r="G20" s="20">
        <v>0</v>
      </c>
      <c r="H20" s="20">
        <v>2994.46</v>
      </c>
      <c r="I20" s="20">
        <v>16778.29</v>
      </c>
      <c r="J20" s="20">
        <v>10000.25</v>
      </c>
      <c r="K20" s="20">
        <v>10001.74</v>
      </c>
      <c r="L20" s="20">
        <v>0.12</v>
      </c>
      <c r="M20" s="20">
        <v>0</v>
      </c>
      <c r="N20" s="20">
        <v>3183.26</v>
      </c>
      <c r="O20" s="20">
        <v>26197.31</v>
      </c>
      <c r="P20" s="21">
        <v>50000</v>
      </c>
      <c r="Q20" s="21">
        <v>5204.5200000000004</v>
      </c>
      <c r="R20" s="22">
        <v>50000</v>
      </c>
      <c r="S20" s="26">
        <v>0</v>
      </c>
      <c r="T20" s="26">
        <v>2500</v>
      </c>
      <c r="U20" s="47"/>
      <c r="V20" s="20">
        <f t="shared" si="0"/>
        <v>64410.05</v>
      </c>
      <c r="W20" s="20">
        <f t="shared" si="1"/>
        <v>119614.57</v>
      </c>
      <c r="X20" s="23">
        <f t="shared" si="2"/>
        <v>169614.57</v>
      </c>
      <c r="Y20" s="37">
        <f t="shared" si="3"/>
        <v>28090.98000000001</v>
      </c>
      <c r="Z20" s="20"/>
    </row>
    <row r="21" spans="1:29">
      <c r="A21" s="4">
        <v>45941</v>
      </c>
      <c r="B21" s="45">
        <v>-1.8</v>
      </c>
      <c r="C21" s="45">
        <v>-1553.57</v>
      </c>
      <c r="D21" s="45">
        <v>0</v>
      </c>
      <c r="E21" s="45">
        <v>-97</v>
      </c>
      <c r="F21" s="45">
        <v>-2551.6</v>
      </c>
      <c r="G21" s="20">
        <v>0</v>
      </c>
      <c r="H21" s="20">
        <v>2676.84</v>
      </c>
      <c r="I21" s="20">
        <v>16031.06</v>
      </c>
      <c r="J21" s="20">
        <v>8108.98</v>
      </c>
      <c r="K21" s="20">
        <v>10001.74</v>
      </c>
      <c r="L21" s="20">
        <v>0.12</v>
      </c>
      <c r="M21" s="20">
        <v>0</v>
      </c>
      <c r="N21" s="20">
        <v>3183.26</v>
      </c>
      <c r="O21" s="20">
        <v>31196.799999999999</v>
      </c>
      <c r="P21" s="21">
        <v>50000</v>
      </c>
      <c r="Q21" s="21">
        <v>5204.5200000000004</v>
      </c>
      <c r="R21" s="22">
        <v>47000</v>
      </c>
      <c r="S21" s="26">
        <v>0</v>
      </c>
      <c r="T21" s="26">
        <v>2500</v>
      </c>
      <c r="U21" s="47"/>
      <c r="V21" s="20">
        <f t="shared" si="0"/>
        <v>66994.83</v>
      </c>
      <c r="W21" s="20">
        <f t="shared" si="1"/>
        <v>122199.35</v>
      </c>
      <c r="X21" s="23">
        <f t="shared" si="2"/>
        <v>169199.35</v>
      </c>
      <c r="Y21" s="37">
        <f t="shared" si="3"/>
        <v>27675.760000000009</v>
      </c>
      <c r="Z21" s="20"/>
    </row>
    <row r="22" spans="1:29">
      <c r="A22" s="4">
        <v>45947</v>
      </c>
      <c r="B22" s="45">
        <v>-20.6</v>
      </c>
      <c r="C22" s="45">
        <v>-1315.51</v>
      </c>
      <c r="D22" s="45">
        <v>0</v>
      </c>
      <c r="E22" s="45">
        <v>-295.99</v>
      </c>
      <c r="F22" s="45">
        <v>-2551.6</v>
      </c>
      <c r="G22" s="20">
        <v>0.3</v>
      </c>
      <c r="H22" s="20">
        <v>2322.71</v>
      </c>
      <c r="I22" s="20">
        <v>10702.68</v>
      </c>
      <c r="J22" s="20">
        <v>26148.07</v>
      </c>
      <c r="K22" s="20">
        <v>3001.74</v>
      </c>
      <c r="L22" s="20">
        <v>0.12</v>
      </c>
      <c r="M22" s="20">
        <v>35120.25</v>
      </c>
      <c r="N22" s="20">
        <v>9183.26</v>
      </c>
      <c r="O22" s="20">
        <v>26203.59</v>
      </c>
      <c r="P22" s="21">
        <v>0</v>
      </c>
      <c r="Q22" s="21">
        <v>5204.5200000000004</v>
      </c>
      <c r="R22" s="22">
        <v>56000</v>
      </c>
      <c r="S22" s="26">
        <v>0</v>
      </c>
      <c r="T22" s="26">
        <v>2500</v>
      </c>
      <c r="U22" s="47"/>
      <c r="V22" s="20">
        <f t="shared" si="0"/>
        <v>108499.01999999999</v>
      </c>
      <c r="W22" s="20">
        <f t="shared" si="1"/>
        <v>113703.54</v>
      </c>
      <c r="X22" s="23">
        <f t="shared" si="2"/>
        <v>169703.53999999998</v>
      </c>
      <c r="Y22" s="37">
        <f t="shared" si="3"/>
        <v>28179.949999999983</v>
      </c>
      <c r="Z22" s="20"/>
    </row>
    <row r="23" spans="1:29">
      <c r="A23" s="4">
        <v>45954</v>
      </c>
      <c r="B23" s="45">
        <v>-18.8</v>
      </c>
      <c r="C23" s="45">
        <v>-1129.92</v>
      </c>
      <c r="D23" s="45">
        <v>-83</v>
      </c>
      <c r="E23" s="45">
        <v>-295.99</v>
      </c>
      <c r="F23" s="45">
        <v>-2551.6</v>
      </c>
      <c r="G23" s="20">
        <v>0.3</v>
      </c>
      <c r="H23" s="20">
        <v>232.06</v>
      </c>
      <c r="I23" s="20">
        <v>10666.05</v>
      </c>
      <c r="J23" s="20">
        <v>2148.0700000000002</v>
      </c>
      <c r="K23" s="20">
        <v>1001.74</v>
      </c>
      <c r="L23" s="20">
        <v>0.12</v>
      </c>
      <c r="M23" s="20">
        <v>17120.25</v>
      </c>
      <c r="N23" s="20">
        <v>18183.259999999998</v>
      </c>
      <c r="O23" s="20">
        <v>26024.31</v>
      </c>
      <c r="P23" s="21">
        <v>0</v>
      </c>
      <c r="Q23" s="21">
        <v>5204.5200000000004</v>
      </c>
      <c r="R23" s="38">
        <v>91000</v>
      </c>
      <c r="S23" s="26">
        <v>0</v>
      </c>
      <c r="T23" s="26">
        <v>2500</v>
      </c>
      <c r="U23" s="47"/>
      <c r="V23" s="20">
        <f t="shared" si="0"/>
        <v>71296.849999999991</v>
      </c>
      <c r="W23" s="20">
        <f t="shared" si="1"/>
        <v>76501.37</v>
      </c>
      <c r="X23" s="23">
        <f t="shared" si="2"/>
        <v>167501.37</v>
      </c>
      <c r="Y23" s="37">
        <f t="shared" si="3"/>
        <v>25977.78</v>
      </c>
      <c r="Z23" s="20"/>
      <c r="AC23" s="20"/>
    </row>
    <row r="24" spans="1:29">
      <c r="A24" s="4">
        <v>45959</v>
      </c>
      <c r="B24" s="45">
        <v>-19.8</v>
      </c>
      <c r="C24" s="45">
        <v>-1129.92</v>
      </c>
      <c r="D24" s="45">
        <v>-83</v>
      </c>
      <c r="E24" s="45">
        <v>-295.99</v>
      </c>
      <c r="F24" s="45">
        <v>-2551.6</v>
      </c>
      <c r="G24" s="20">
        <v>0.3</v>
      </c>
      <c r="H24" s="20">
        <v>84.7</v>
      </c>
      <c r="I24" s="20">
        <v>17013.29</v>
      </c>
      <c r="J24" s="20">
        <v>30110.35</v>
      </c>
      <c r="K24" s="20">
        <v>1001.74</v>
      </c>
      <c r="L24" s="20">
        <v>0.12</v>
      </c>
      <c r="M24" s="20">
        <v>14120.25</v>
      </c>
      <c r="N24" s="20">
        <v>21183.26</v>
      </c>
      <c r="O24" s="20">
        <v>25928.68</v>
      </c>
      <c r="P24" s="21">
        <v>0</v>
      </c>
      <c r="Q24" s="21">
        <v>5204.5200000000004</v>
      </c>
      <c r="R24" s="12">
        <v>54335.85</v>
      </c>
      <c r="S24" s="26">
        <v>0</v>
      </c>
      <c r="T24" s="26">
        <v>2500</v>
      </c>
      <c r="U24" s="47"/>
      <c r="V24" s="20">
        <f t="shared" si="0"/>
        <v>105362.38</v>
      </c>
      <c r="W24" s="20">
        <f t="shared" si="1"/>
        <v>110566.90000000001</v>
      </c>
      <c r="X24" s="23">
        <f t="shared" si="2"/>
        <v>164902.75</v>
      </c>
      <c r="Y24" s="37">
        <f t="shared" si="3"/>
        <v>23379.160000000003</v>
      </c>
      <c r="Z24" s="20"/>
    </row>
    <row r="25" spans="1:29" s="24" customFormat="1">
      <c r="A25" s="25">
        <v>45961</v>
      </c>
      <c r="B25" s="46">
        <v>-19.8</v>
      </c>
      <c r="C25" s="46">
        <v>-1129.92</v>
      </c>
      <c r="D25" s="46">
        <v>-83</v>
      </c>
      <c r="E25" s="46">
        <v>-295.99</v>
      </c>
      <c r="F25" s="46">
        <v>-2551.6</v>
      </c>
      <c r="G25" s="30">
        <v>0.3</v>
      </c>
      <c r="H25" s="30">
        <v>50.1</v>
      </c>
      <c r="I25" s="30">
        <v>17011.61</v>
      </c>
      <c r="J25" s="24">
        <v>2148.0699999999997</v>
      </c>
      <c r="K25" s="30">
        <v>1001.74</v>
      </c>
      <c r="L25" s="30">
        <v>0.12</v>
      </c>
      <c r="M25" s="30">
        <v>14120.25</v>
      </c>
      <c r="N25" s="30">
        <v>21183.26</v>
      </c>
      <c r="O25" s="30">
        <v>25930.47</v>
      </c>
      <c r="P25" s="31">
        <v>0</v>
      </c>
      <c r="Q25" s="31">
        <v>5204.5200000000004</v>
      </c>
      <c r="R25" s="43">
        <v>85000</v>
      </c>
      <c r="S25" s="33">
        <v>0</v>
      </c>
      <c r="T25" s="33">
        <v>2500</v>
      </c>
      <c r="U25" s="48"/>
      <c r="V25" s="30">
        <f t="shared" si="0"/>
        <v>77365.61</v>
      </c>
      <c r="W25" s="30">
        <f t="shared" si="1"/>
        <v>82570.13</v>
      </c>
      <c r="X25" s="34">
        <f t="shared" si="2"/>
        <v>167570.13</v>
      </c>
      <c r="Y25" s="30">
        <f t="shared" ref="Y25:Y27" si="4">X25-$AE$4</f>
        <v>26046.540000000008</v>
      </c>
      <c r="Z25" s="30"/>
      <c r="AA25" s="30"/>
      <c r="AC25" s="30"/>
    </row>
    <row r="26" spans="1:29">
      <c r="A26" s="4">
        <v>45970</v>
      </c>
      <c r="B26" s="45">
        <v>-19.8</v>
      </c>
      <c r="C26" s="45">
        <v>-1129.92</v>
      </c>
      <c r="D26" s="45">
        <v>0</v>
      </c>
      <c r="E26" s="45">
        <v>0</v>
      </c>
      <c r="F26" s="45">
        <v>-1713.09</v>
      </c>
      <c r="G26" s="20">
        <v>0.3</v>
      </c>
      <c r="H26" s="20">
        <v>669.37</v>
      </c>
      <c r="I26" s="20">
        <v>7012.78</v>
      </c>
      <c r="J26" s="20">
        <v>930.57</v>
      </c>
      <c r="K26" s="20">
        <v>1001.74</v>
      </c>
      <c r="L26" s="20">
        <v>0.12</v>
      </c>
      <c r="M26" s="20">
        <v>14120.25</v>
      </c>
      <c r="N26" s="20">
        <v>21183.26</v>
      </c>
      <c r="O26" s="20">
        <v>31460.48</v>
      </c>
      <c r="P26" s="21">
        <v>0</v>
      </c>
      <c r="Q26" s="21">
        <v>5204.5200000000004</v>
      </c>
      <c r="R26" s="38">
        <v>85000</v>
      </c>
      <c r="S26" s="26">
        <v>10000</v>
      </c>
      <c r="T26" s="26">
        <v>2500</v>
      </c>
      <c r="U26" s="49">
        <v>-2717.5699999999997</v>
      </c>
      <c r="V26" s="20">
        <f t="shared" si="0"/>
        <v>73516.06</v>
      </c>
      <c r="W26" s="20">
        <f t="shared" si="1"/>
        <v>78720.58</v>
      </c>
      <c r="X26" s="23">
        <f t="shared" si="2"/>
        <v>173720.58000000002</v>
      </c>
      <c r="Y26" s="37">
        <f t="shared" si="4"/>
        <v>32196.99000000002</v>
      </c>
      <c r="Z26" s="38">
        <f t="shared" ref="Z26:Z38" si="5">SUM(B26:S26,U26)</f>
        <v>171003.01</v>
      </c>
    </row>
    <row r="27" spans="1:29">
      <c r="A27" s="4">
        <v>45978</v>
      </c>
      <c r="B27" s="45">
        <v>-22.8</v>
      </c>
      <c r="C27" s="45">
        <v>-1129.92</v>
      </c>
      <c r="D27" s="45">
        <v>0</v>
      </c>
      <c r="E27" s="45">
        <v>-17.8</v>
      </c>
      <c r="F27" s="45">
        <v>-1713.09</v>
      </c>
      <c r="G27" s="20">
        <v>0.3</v>
      </c>
      <c r="H27" s="20">
        <v>388.31</v>
      </c>
      <c r="I27" s="20">
        <v>6742.57</v>
      </c>
      <c r="J27" s="20">
        <v>930.57</v>
      </c>
      <c r="K27" s="20">
        <v>4001.74</v>
      </c>
      <c r="L27" s="20">
        <v>0.12</v>
      </c>
      <c r="M27" s="20">
        <v>11120.25</v>
      </c>
      <c r="N27" s="20">
        <v>21183.26</v>
      </c>
      <c r="O27" s="20">
        <v>31472.080000000002</v>
      </c>
      <c r="P27" s="21">
        <v>0</v>
      </c>
      <c r="Q27" s="21">
        <v>5204.5200000000004</v>
      </c>
      <c r="R27" s="38">
        <v>85000</v>
      </c>
      <c r="S27" s="26">
        <v>10000</v>
      </c>
      <c r="T27" s="26">
        <v>2500</v>
      </c>
      <c r="U27" s="49">
        <v>-2422.7100000000046</v>
      </c>
      <c r="V27" s="20">
        <f t="shared" si="0"/>
        <v>72955.59</v>
      </c>
      <c r="W27" s="20">
        <f t="shared" si="1"/>
        <v>78160.11</v>
      </c>
      <c r="X27" s="23">
        <f t="shared" si="2"/>
        <v>173160.11</v>
      </c>
      <c r="Y27" s="37">
        <f t="shared" si="4"/>
        <v>31636.51999999999</v>
      </c>
      <c r="Z27" s="38">
        <f t="shared" si="5"/>
        <v>170737.4</v>
      </c>
    </row>
    <row r="28" spans="1:29">
      <c r="A28" s="4">
        <v>45983</v>
      </c>
      <c r="B28" s="45">
        <v>-25.69</v>
      </c>
      <c r="C28" s="45">
        <v>-978.53</v>
      </c>
      <c r="D28" s="45">
        <v>0</v>
      </c>
      <c r="E28" s="45">
        <v>-17.8</v>
      </c>
      <c r="F28" s="45">
        <v>-1713.09</v>
      </c>
      <c r="G28" s="20">
        <v>0</v>
      </c>
      <c r="H28" s="20">
        <v>252.95</v>
      </c>
      <c r="I28" s="20">
        <v>6716.87</v>
      </c>
      <c r="J28" s="20">
        <v>930.57</v>
      </c>
      <c r="K28" s="20">
        <v>4001.74</v>
      </c>
      <c r="L28" s="20">
        <v>0.12</v>
      </c>
      <c r="M28" s="20">
        <v>11120.25</v>
      </c>
      <c r="N28" s="20">
        <v>21183.26</v>
      </c>
      <c r="O28" s="20">
        <v>31325.279999999999</v>
      </c>
      <c r="P28" s="21">
        <v>0</v>
      </c>
      <c r="Q28" s="21">
        <v>5204.5200000000004</v>
      </c>
      <c r="R28" s="38">
        <v>85000</v>
      </c>
      <c r="S28" s="26">
        <v>10000</v>
      </c>
      <c r="T28" s="26">
        <v>2500</v>
      </c>
      <c r="U28" s="49">
        <v>-2569.4400000000032</v>
      </c>
      <c r="V28" s="20">
        <f t="shared" si="0"/>
        <v>72795.929999999993</v>
      </c>
      <c r="W28" s="20">
        <f t="shared" ref="W28:W38" si="6">SUM(B28:Q28)</f>
        <v>78000.45</v>
      </c>
      <c r="X28" s="23">
        <f t="shared" ref="X28:X38" si="7">SUM(B28:S28)</f>
        <v>173000.45</v>
      </c>
      <c r="Y28" s="37">
        <f t="shared" ref="Y28:Y38" si="8">X28-$AE$4</f>
        <v>31476.860000000015</v>
      </c>
      <c r="Z28" s="38">
        <f t="shared" si="5"/>
        <v>170431.01</v>
      </c>
      <c r="AA28" s="38">
        <f t="shared" ref="AA28:AA38" si="9">Z28-$AE$4</f>
        <v>28907.420000000013</v>
      </c>
    </row>
    <row r="29" spans="1:29">
      <c r="A29" s="4">
        <v>45989</v>
      </c>
      <c r="B29" s="45">
        <v>-876.68</v>
      </c>
      <c r="C29" s="45">
        <v>-1014.41</v>
      </c>
      <c r="D29" s="45">
        <v>-9.59</v>
      </c>
      <c r="E29" s="45">
        <v>-17.8</v>
      </c>
      <c r="F29" s="45">
        <v>-1713.09</v>
      </c>
      <c r="G29" s="20">
        <v>0</v>
      </c>
      <c r="H29" s="20">
        <v>61.61</v>
      </c>
      <c r="I29" s="20">
        <v>11537.32</v>
      </c>
      <c r="J29" s="20">
        <v>930.57</v>
      </c>
      <c r="K29" s="20">
        <v>4001.74</v>
      </c>
      <c r="L29" s="20">
        <v>0.12</v>
      </c>
      <c r="M29" s="20">
        <v>11120.25</v>
      </c>
      <c r="N29" s="20">
        <v>21183.26</v>
      </c>
      <c r="O29" s="20">
        <v>26232.65</v>
      </c>
      <c r="P29" s="21">
        <v>0</v>
      </c>
      <c r="Q29" s="21">
        <v>5204.5200000000004</v>
      </c>
      <c r="R29" s="38">
        <v>80000</v>
      </c>
      <c r="S29" s="26">
        <v>10000</v>
      </c>
      <c r="T29" s="26">
        <v>2500</v>
      </c>
      <c r="U29" s="49">
        <v>-2178.7100000000028</v>
      </c>
      <c r="V29" s="20">
        <f t="shared" si="0"/>
        <v>71435.950000000012</v>
      </c>
      <c r="W29" s="20">
        <f t="shared" si="6"/>
        <v>76640.470000000016</v>
      </c>
      <c r="X29" s="23">
        <f t="shared" si="7"/>
        <v>166640.47000000003</v>
      </c>
      <c r="Y29" s="37">
        <f t="shared" si="8"/>
        <v>25116.880000000034</v>
      </c>
      <c r="Z29" s="38">
        <f t="shared" si="5"/>
        <v>164461.76000000004</v>
      </c>
      <c r="AA29" s="38">
        <f t="shared" si="9"/>
        <v>22938.170000000042</v>
      </c>
    </row>
    <row r="30" spans="1:29">
      <c r="A30" s="4">
        <v>45993</v>
      </c>
      <c r="B30" s="45">
        <v>-896.69</v>
      </c>
      <c r="C30" s="45">
        <v>-1173.7</v>
      </c>
      <c r="D30" s="45">
        <v>-9.59</v>
      </c>
      <c r="E30" s="45">
        <v>-17.8</v>
      </c>
      <c r="F30" s="45">
        <v>-1713.09</v>
      </c>
      <c r="G30" s="20">
        <v>0</v>
      </c>
      <c r="H30" s="20">
        <v>2215.11</v>
      </c>
      <c r="I30" s="20">
        <v>11216.3</v>
      </c>
      <c r="J30" s="20">
        <v>0</v>
      </c>
      <c r="K30" s="20">
        <v>4932.3100000000004</v>
      </c>
      <c r="L30" s="20">
        <v>0.12</v>
      </c>
      <c r="M30" s="20">
        <v>11120.25</v>
      </c>
      <c r="N30" s="20">
        <v>21183.26</v>
      </c>
      <c r="O30" s="20">
        <v>26207.81</v>
      </c>
      <c r="P30" s="21">
        <v>0</v>
      </c>
      <c r="Q30" s="21">
        <v>5204.5200000000004</v>
      </c>
      <c r="R30" s="38">
        <v>80000</v>
      </c>
      <c r="S30" s="26">
        <v>7000</v>
      </c>
      <c r="T30" s="26">
        <v>2500</v>
      </c>
      <c r="U30" s="49">
        <v>-2083.5400000000027</v>
      </c>
      <c r="V30" s="20">
        <f t="shared" si="0"/>
        <v>73064.289999999994</v>
      </c>
      <c r="W30" s="20">
        <f t="shared" si="6"/>
        <v>78268.81</v>
      </c>
      <c r="X30" s="23">
        <f t="shared" si="7"/>
        <v>165268.81</v>
      </c>
      <c r="Y30" s="37">
        <f t="shared" si="8"/>
        <v>23745.22</v>
      </c>
      <c r="Z30" s="38">
        <f t="shared" si="5"/>
        <v>163185.26999999999</v>
      </c>
      <c r="AA30" s="38">
        <f t="shared" si="9"/>
        <v>21661.679999999993</v>
      </c>
    </row>
    <row r="31" spans="1:29">
      <c r="A31" s="4">
        <v>45996</v>
      </c>
      <c r="B31" s="45">
        <v>-897.29</v>
      </c>
      <c r="C31" s="45">
        <v>-1173.7</v>
      </c>
      <c r="D31" s="45">
        <v>-9.59</v>
      </c>
      <c r="E31" s="45">
        <v>-17.8</v>
      </c>
      <c r="F31" s="45">
        <v>-1713.09</v>
      </c>
      <c r="G31" s="20">
        <v>0</v>
      </c>
      <c r="H31" s="20">
        <v>2120.23</v>
      </c>
      <c r="I31" s="23">
        <v>11214.87</v>
      </c>
      <c r="J31" s="20">
        <v>0</v>
      </c>
      <c r="K31" s="20">
        <v>4932.3100000000004</v>
      </c>
      <c r="L31" s="20">
        <v>0.12</v>
      </c>
      <c r="M31" s="20">
        <v>11120.25</v>
      </c>
      <c r="N31" s="20">
        <v>21183.26</v>
      </c>
      <c r="O31" s="20">
        <v>33389.15</v>
      </c>
      <c r="P31" s="21">
        <v>0</v>
      </c>
      <c r="Q31" s="21">
        <v>5204.5200000000004</v>
      </c>
      <c r="R31" s="38">
        <v>80000</v>
      </c>
      <c r="S31" s="26">
        <v>7000</v>
      </c>
      <c r="T31" s="26">
        <v>2500</v>
      </c>
      <c r="U31" s="49">
        <v>-2081.75</v>
      </c>
      <c r="V31" s="20">
        <f t="shared" si="0"/>
        <v>80148.72</v>
      </c>
      <c r="W31" s="20">
        <f t="shared" si="6"/>
        <v>85353.24</v>
      </c>
      <c r="X31" s="23">
        <f t="shared" si="7"/>
        <v>172353.24</v>
      </c>
      <c r="Y31" s="37">
        <f t="shared" si="8"/>
        <v>30829.649999999994</v>
      </c>
      <c r="Z31" s="38">
        <f t="shared" si="5"/>
        <v>170271.49</v>
      </c>
      <c r="AA31" s="38">
        <f t="shared" si="9"/>
        <v>28747.899999999994</v>
      </c>
    </row>
    <row r="32" spans="1:29">
      <c r="A32" s="4">
        <v>46000</v>
      </c>
      <c r="B32" s="45">
        <v>-970.42</v>
      </c>
      <c r="C32" s="45">
        <v>-6837.49</v>
      </c>
      <c r="D32" s="45">
        <v>0</v>
      </c>
      <c r="E32" s="45">
        <v>0</v>
      </c>
      <c r="F32" s="45">
        <v>-862.11</v>
      </c>
      <c r="G32" s="20">
        <v>0</v>
      </c>
      <c r="H32" s="20">
        <v>1954.06</v>
      </c>
      <c r="I32" s="20">
        <v>8060.91</v>
      </c>
      <c r="J32" s="20">
        <v>2121.63</v>
      </c>
      <c r="K32" s="20">
        <v>4932.3100000000004</v>
      </c>
      <c r="L32" s="20">
        <v>0.12</v>
      </c>
      <c r="M32" s="20">
        <v>8120.25</v>
      </c>
      <c r="N32" s="20">
        <v>21183.26</v>
      </c>
      <c r="O32" s="20">
        <v>33392.620000000003</v>
      </c>
      <c r="P32" s="21">
        <v>0</v>
      </c>
      <c r="Q32" s="21">
        <v>5204.5200000000004</v>
      </c>
      <c r="R32" s="38">
        <v>80000</v>
      </c>
      <c r="S32" s="26">
        <v>10000</v>
      </c>
      <c r="T32" s="26">
        <v>2500</v>
      </c>
      <c r="U32" s="49">
        <v>-2086.4300000000021</v>
      </c>
      <c r="V32" s="20">
        <f t="shared" si="0"/>
        <v>71095.140000000014</v>
      </c>
      <c r="W32" s="20">
        <f t="shared" si="6"/>
        <v>76299.660000000018</v>
      </c>
      <c r="X32" s="23">
        <f t="shared" si="7"/>
        <v>166299.66000000003</v>
      </c>
      <c r="Y32" s="37">
        <f t="shared" si="8"/>
        <v>24776.070000000036</v>
      </c>
      <c r="Z32" s="38">
        <f t="shared" si="5"/>
        <v>164213.23000000004</v>
      </c>
      <c r="AA32" s="38">
        <f t="shared" si="9"/>
        <v>22689.640000000043</v>
      </c>
    </row>
    <row r="33" spans="1:27">
      <c r="A33" s="4">
        <v>46004</v>
      </c>
      <c r="B33" s="45">
        <v>-1030.06</v>
      </c>
      <c r="C33" s="45">
        <v>-7283.09</v>
      </c>
      <c r="D33" s="45">
        <v>0</v>
      </c>
      <c r="E33" s="45">
        <v>0</v>
      </c>
      <c r="F33" s="45">
        <v>-862.11</v>
      </c>
      <c r="G33" s="20">
        <v>0</v>
      </c>
      <c r="H33" s="20">
        <v>1896.82</v>
      </c>
      <c r="I33" s="23">
        <v>8017.73</v>
      </c>
      <c r="J33" s="20">
        <v>2121.63</v>
      </c>
      <c r="K33" s="20">
        <v>4932.3100000000004</v>
      </c>
      <c r="L33" s="20">
        <v>0.12</v>
      </c>
      <c r="M33" s="20">
        <v>8120.25</v>
      </c>
      <c r="N33" s="20">
        <v>21183.26</v>
      </c>
      <c r="O33" s="20">
        <v>33396.33</v>
      </c>
      <c r="P33" s="21">
        <v>0</v>
      </c>
      <c r="Q33" s="21">
        <v>5204.5200000000004</v>
      </c>
      <c r="R33" s="38">
        <v>80000</v>
      </c>
      <c r="S33" s="26">
        <v>10000</v>
      </c>
      <c r="T33" s="26">
        <v>2500</v>
      </c>
      <c r="U33" s="50">
        <v>-2042.630000000001</v>
      </c>
      <c r="V33" s="20">
        <f t="shared" si="0"/>
        <v>70493.19</v>
      </c>
      <c r="W33" s="20">
        <f t="shared" si="6"/>
        <v>75697.710000000006</v>
      </c>
      <c r="X33" s="23">
        <f t="shared" si="7"/>
        <v>165697.71000000002</v>
      </c>
      <c r="Y33" s="37">
        <f t="shared" si="8"/>
        <v>24174.120000000024</v>
      </c>
      <c r="Z33" s="38">
        <f t="shared" si="5"/>
        <v>163655.08000000002</v>
      </c>
      <c r="AA33" s="38">
        <f t="shared" si="9"/>
        <v>22131.49000000002</v>
      </c>
    </row>
    <row r="34" spans="1:27">
      <c r="A34" s="4">
        <v>46005</v>
      </c>
      <c r="B34" s="45">
        <v>-1030.06</v>
      </c>
      <c r="C34" s="45">
        <v>-7283.09</v>
      </c>
      <c r="D34" s="45">
        <v>0</v>
      </c>
      <c r="E34" s="45">
        <v>0</v>
      </c>
      <c r="F34" s="45">
        <v>-862.11</v>
      </c>
      <c r="G34" s="20">
        <v>0</v>
      </c>
      <c r="H34" s="20">
        <v>1865.35</v>
      </c>
      <c r="I34" s="20">
        <v>8017.95</v>
      </c>
      <c r="J34" s="20">
        <v>2121.63</v>
      </c>
      <c r="K34" s="20">
        <v>12932.43</v>
      </c>
      <c r="L34" s="20">
        <v>0</v>
      </c>
      <c r="M34" s="20">
        <v>5120.25</v>
      </c>
      <c r="N34" s="20">
        <v>16183.26</v>
      </c>
      <c r="O34" s="20">
        <v>33396.33</v>
      </c>
      <c r="P34" s="21">
        <v>0</v>
      </c>
      <c r="Q34" s="21">
        <v>5204.5200000000004</v>
      </c>
      <c r="R34" s="38">
        <v>80000</v>
      </c>
      <c r="S34" s="26">
        <v>10000</v>
      </c>
      <c r="T34" s="26">
        <v>2500</v>
      </c>
      <c r="U34" s="50">
        <v>-2042.630000000001</v>
      </c>
      <c r="V34" s="20">
        <f t="shared" si="0"/>
        <v>70461.94</v>
      </c>
      <c r="W34" s="20">
        <f t="shared" si="6"/>
        <v>75666.460000000006</v>
      </c>
      <c r="X34" s="23">
        <f t="shared" si="7"/>
        <v>165666.46000000002</v>
      </c>
      <c r="Y34" s="37">
        <f t="shared" si="8"/>
        <v>24142.870000000024</v>
      </c>
      <c r="Z34" s="38">
        <f t="shared" si="5"/>
        <v>163623.83000000002</v>
      </c>
      <c r="AA34" s="38">
        <f t="shared" si="9"/>
        <v>22100.24000000002</v>
      </c>
    </row>
    <row r="35" spans="1:27">
      <c r="A35" s="4">
        <v>46018</v>
      </c>
      <c r="B35" s="45">
        <v>-145.80000000000001</v>
      </c>
      <c r="C35" s="45">
        <v>-5970.34</v>
      </c>
      <c r="D35" s="45">
        <v>0</v>
      </c>
      <c r="E35" s="45">
        <v>0</v>
      </c>
      <c r="F35" s="45">
        <v>-862.11</v>
      </c>
      <c r="G35" s="20">
        <v>0</v>
      </c>
      <c r="H35" s="20">
        <v>1417.54</v>
      </c>
      <c r="I35" s="23">
        <v>7041.62</v>
      </c>
      <c r="J35" s="20">
        <v>2121.63</v>
      </c>
      <c r="K35" s="20">
        <v>21213.16</v>
      </c>
      <c r="L35" s="20">
        <v>0</v>
      </c>
      <c r="M35" s="20">
        <v>2121.9499999999998</v>
      </c>
      <c r="N35" s="20">
        <v>16185.21</v>
      </c>
      <c r="O35" s="20">
        <v>29564.2</v>
      </c>
      <c r="P35" s="21">
        <v>0</v>
      </c>
      <c r="Q35" s="21">
        <v>5204.5200000000004</v>
      </c>
      <c r="R35" s="38">
        <v>80000</v>
      </c>
      <c r="S35" s="26">
        <v>10000</v>
      </c>
      <c r="T35" s="26">
        <v>0</v>
      </c>
      <c r="U35" s="50">
        <v>-946.82999999999993</v>
      </c>
      <c r="V35" s="20">
        <f t="shared" si="0"/>
        <v>72687.06</v>
      </c>
      <c r="W35" s="20">
        <f t="shared" si="6"/>
        <v>77891.58</v>
      </c>
      <c r="X35" s="23">
        <f t="shared" si="7"/>
        <v>167891.58000000002</v>
      </c>
      <c r="Y35" s="37">
        <f t="shared" si="8"/>
        <v>26367.99000000002</v>
      </c>
      <c r="Z35" s="38">
        <f t="shared" si="5"/>
        <v>166944.75000000003</v>
      </c>
      <c r="AA35" s="38">
        <f t="shared" si="9"/>
        <v>25421.160000000033</v>
      </c>
    </row>
    <row r="36" spans="1:27">
      <c r="A36" s="4">
        <v>46022</v>
      </c>
      <c r="B36" s="45">
        <v>-240.43</v>
      </c>
      <c r="C36" s="45">
        <v>-6022.74</v>
      </c>
      <c r="D36" s="45">
        <v>0</v>
      </c>
      <c r="E36" s="45">
        <v>0</v>
      </c>
      <c r="F36" s="45">
        <v>-862.11</v>
      </c>
      <c r="G36" s="20">
        <v>0</v>
      </c>
      <c r="H36" s="20">
        <v>1336.57</v>
      </c>
      <c r="I36" s="20">
        <v>6987.76</v>
      </c>
      <c r="J36" s="20">
        <v>2035.57</v>
      </c>
      <c r="K36" s="20">
        <v>23335.11</v>
      </c>
      <c r="L36" s="20">
        <v>0</v>
      </c>
      <c r="M36" s="20">
        <v>0</v>
      </c>
      <c r="N36" s="20">
        <v>16185.21</v>
      </c>
      <c r="O36" s="20">
        <v>24619.8</v>
      </c>
      <c r="P36" s="21">
        <v>0</v>
      </c>
      <c r="Q36" s="21">
        <v>5204.5200000000004</v>
      </c>
      <c r="R36" s="38">
        <v>85030.459999999992</v>
      </c>
      <c r="S36" s="26">
        <v>10000</v>
      </c>
      <c r="T36" s="26">
        <v>0</v>
      </c>
      <c r="U36" s="50">
        <v>-1400.0699999999997</v>
      </c>
      <c r="V36" s="20">
        <f t="shared" si="0"/>
        <v>67374.740000000005</v>
      </c>
      <c r="W36" s="20">
        <f t="shared" si="6"/>
        <v>72579.260000000009</v>
      </c>
      <c r="X36" s="23">
        <f t="shared" si="7"/>
        <v>167609.72</v>
      </c>
      <c r="Y36" s="20">
        <f t="shared" si="8"/>
        <v>26086.130000000005</v>
      </c>
      <c r="Z36" s="38">
        <f t="shared" si="5"/>
        <v>166209.65</v>
      </c>
      <c r="AA36" s="20">
        <f t="shared" si="9"/>
        <v>24686.059999999998</v>
      </c>
    </row>
    <row r="37" spans="1:27">
      <c r="A37" s="4">
        <v>46022</v>
      </c>
      <c r="B37" s="45">
        <v>-240.43</v>
      </c>
      <c r="C37" s="45">
        <v>-6022.74</v>
      </c>
      <c r="D37" s="45">
        <v>0</v>
      </c>
      <c r="E37" s="45">
        <v>0</v>
      </c>
      <c r="F37" s="45">
        <v>-862.11</v>
      </c>
      <c r="G37" s="20">
        <v>0</v>
      </c>
      <c r="H37" s="20">
        <v>1336.57</v>
      </c>
      <c r="I37" s="20">
        <v>6987.76</v>
      </c>
      <c r="J37" s="20">
        <v>2035.57</v>
      </c>
      <c r="K37" s="20">
        <v>23335.11</v>
      </c>
      <c r="L37" s="20">
        <v>0</v>
      </c>
      <c r="M37" s="20">
        <v>0</v>
      </c>
      <c r="N37" s="20">
        <v>16185.21</v>
      </c>
      <c r="O37" s="20">
        <v>44716.98</v>
      </c>
      <c r="P37" s="21">
        <v>0</v>
      </c>
      <c r="Q37" s="21">
        <v>5204.5200000000004</v>
      </c>
      <c r="R37" s="38">
        <v>65030.46</v>
      </c>
      <c r="S37" s="26">
        <v>10000</v>
      </c>
      <c r="T37" s="26">
        <v>0</v>
      </c>
      <c r="U37" s="50">
        <v>-1492.4300000000003</v>
      </c>
      <c r="V37" s="20">
        <f t="shared" si="0"/>
        <v>87471.920000000013</v>
      </c>
      <c r="W37" s="20">
        <f t="shared" si="6"/>
        <v>92676.440000000017</v>
      </c>
      <c r="X37" s="23">
        <f t="shared" si="7"/>
        <v>167706.90000000002</v>
      </c>
      <c r="Y37" s="20">
        <f t="shared" si="8"/>
        <v>26183.310000000027</v>
      </c>
      <c r="Z37" s="38">
        <f t="shared" si="5"/>
        <v>166214.47000000003</v>
      </c>
      <c r="AA37" s="20">
        <f t="shared" si="9"/>
        <v>24690.880000000034</v>
      </c>
    </row>
    <row r="38" spans="1:27">
      <c r="A38" s="4">
        <v>46028</v>
      </c>
      <c r="B38" s="45">
        <v>-343.3</v>
      </c>
      <c r="C38" s="45">
        <v>-6338.47</v>
      </c>
      <c r="D38" s="45">
        <v>0</v>
      </c>
      <c r="E38" s="45">
        <v>0</v>
      </c>
      <c r="F38" s="45">
        <v>-862.11</v>
      </c>
      <c r="G38" s="20">
        <v>0</v>
      </c>
      <c r="H38" s="20">
        <v>1352.08</v>
      </c>
      <c r="I38" s="20">
        <v>6971.68</v>
      </c>
      <c r="J38" s="20">
        <v>34211.78</v>
      </c>
      <c r="K38" s="20">
        <v>39084.400000000001</v>
      </c>
      <c r="L38" s="20">
        <v>0</v>
      </c>
      <c r="M38" s="20">
        <v>2035.57</v>
      </c>
      <c r="N38" s="20">
        <v>16185.21</v>
      </c>
      <c r="O38" s="20">
        <v>50201.24</v>
      </c>
      <c r="P38" s="21">
        <v>0</v>
      </c>
      <c r="Q38" s="21">
        <v>5204.5200000000004</v>
      </c>
      <c r="R38" s="38">
        <v>15000</v>
      </c>
      <c r="S38" s="26">
        <v>10000</v>
      </c>
      <c r="T38" s="26">
        <v>0</v>
      </c>
      <c r="U38" s="50">
        <v>-170.44999999999891</v>
      </c>
      <c r="V38" s="20">
        <f t="shared" si="0"/>
        <v>142498.07999999999</v>
      </c>
      <c r="W38" s="20">
        <f t="shared" si="6"/>
        <v>147702.59999999998</v>
      </c>
      <c r="X38" s="23">
        <f t="shared" si="7"/>
        <v>172702.59999999998</v>
      </c>
      <c r="Y38" s="20">
        <f t="shared" si="8"/>
        <v>31179.00999999998</v>
      </c>
      <c r="Z38" s="38">
        <f t="shared" si="5"/>
        <v>172532.14999999997</v>
      </c>
      <c r="AA38" s="20">
        <f t="shared" si="9"/>
        <v>31008.559999999969</v>
      </c>
    </row>
    <row r="39" spans="1:27">
      <c r="I39" s="20"/>
      <c r="K39" s="23"/>
      <c r="X39" s="23"/>
      <c r="Z39" s="23"/>
    </row>
    <row r="41" spans="1:27">
      <c r="O41" s="23"/>
      <c r="Z41" s="23"/>
    </row>
    <row r="42" spans="1:27">
      <c r="M42" s="23"/>
      <c r="O42" s="23"/>
    </row>
  </sheetData>
  <phoneticPr fontId="1" type="noConversion"/>
  <pageMargins left="0.7" right="0.7" top="0.75" bottom="0.75" header="0.3" footer="0.3"/>
  <pageSetup paperSize="9" orientation="portrait" r:id="rId1"/>
  <ignoredErrors>
    <ignoredError sqref="Z28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28"/>
  <sheetViews>
    <sheetView zoomScaleNormal="100" workbookViewId="0">
      <selection activeCell="D7" sqref="D7"/>
    </sheetView>
  </sheetViews>
  <sheetFormatPr defaultRowHeight="13.8"/>
  <cols>
    <col min="1" max="1" width="35.6640625" customWidth="1"/>
    <col min="2" max="2" width="10.44140625" style="20" bestFit="1" customWidth="1"/>
    <col min="3" max="4" width="9.44140625" style="20" customWidth="1"/>
    <col min="5" max="5" width="13.6640625" customWidth="1"/>
    <col min="7" max="7" width="8.88671875" style="24"/>
    <col min="8" max="8" width="17" customWidth="1"/>
    <col min="9" max="9" width="11" customWidth="1"/>
    <col min="10" max="10" width="14" customWidth="1"/>
    <col min="11" max="11" width="10.21875" customWidth="1"/>
    <col min="12" max="12" width="9.21875" customWidth="1"/>
  </cols>
  <sheetData>
    <row r="1" spans="1:12">
      <c r="A1" t="s">
        <v>641</v>
      </c>
      <c r="B1" s="20" t="s">
        <v>642</v>
      </c>
      <c r="C1" s="20" t="s">
        <v>778</v>
      </c>
      <c r="D1" s="20" t="s">
        <v>779</v>
      </c>
      <c r="E1" t="s">
        <v>694</v>
      </c>
      <c r="J1" s="20"/>
    </row>
    <row r="2" spans="1:12">
      <c r="A2" t="s">
        <v>586</v>
      </c>
      <c r="B2" s="20">
        <v>10000</v>
      </c>
      <c r="C2" s="20">
        <v>10082.870000000001</v>
      </c>
      <c r="D2" s="37">
        <f t="shared" ref="D2" si="0">C2-B2</f>
        <v>82.8700000000008</v>
      </c>
      <c r="E2" s="4">
        <v>46104</v>
      </c>
      <c r="H2" s="52"/>
      <c r="I2" s="55"/>
      <c r="J2" s="55"/>
      <c r="K2" s="54"/>
      <c r="L2" s="54"/>
    </row>
    <row r="3" spans="1:12">
      <c r="A3" s="41" t="s">
        <v>680</v>
      </c>
      <c r="B3" s="42">
        <v>5000</v>
      </c>
      <c r="C3" s="42">
        <v>4746.68</v>
      </c>
      <c r="D3" s="42">
        <f>C3-B3</f>
        <v>-253.31999999999971</v>
      </c>
      <c r="H3" s="51"/>
      <c r="I3" s="54"/>
      <c r="J3" s="54"/>
      <c r="K3" s="54"/>
      <c r="L3" s="54"/>
    </row>
    <row r="4" spans="1:12">
      <c r="A4" s="39" t="s">
        <v>726</v>
      </c>
      <c r="B4" s="40">
        <v>0</v>
      </c>
      <c r="C4" s="40">
        <v>0</v>
      </c>
      <c r="D4" s="40">
        <f t="shared" ref="D4:D6" si="1">C4-B4</f>
        <v>0</v>
      </c>
      <c r="H4" s="51"/>
      <c r="I4" s="54"/>
      <c r="J4" s="54"/>
      <c r="K4" s="54"/>
      <c r="L4" s="54"/>
    </row>
    <row r="5" spans="1:12">
      <c r="A5" s="39" t="s">
        <v>613</v>
      </c>
      <c r="B5" s="40">
        <v>0</v>
      </c>
      <c r="C5" s="40">
        <v>0</v>
      </c>
      <c r="D5" s="40">
        <f t="shared" si="1"/>
        <v>0</v>
      </c>
      <c r="H5" s="51"/>
      <c r="I5" s="54"/>
      <c r="J5" s="54"/>
      <c r="K5" s="54"/>
      <c r="L5" s="54"/>
    </row>
    <row r="6" spans="1:12">
      <c r="A6" s="39" t="s">
        <v>724</v>
      </c>
      <c r="B6" s="40">
        <v>0</v>
      </c>
      <c r="C6" s="40">
        <v>0</v>
      </c>
      <c r="D6" s="40">
        <f t="shared" si="1"/>
        <v>0</v>
      </c>
      <c r="E6" s="23"/>
      <c r="H6" s="51"/>
      <c r="I6" s="54"/>
      <c r="J6" s="54"/>
      <c r="K6" s="54"/>
      <c r="L6" s="54"/>
    </row>
    <row r="7" spans="1:12">
      <c r="B7" s="20">
        <f>SUM(B2:B6)</f>
        <v>15000</v>
      </c>
      <c r="C7" s="20">
        <f>SUM(C2:C6)</f>
        <v>14829.550000000001</v>
      </c>
      <c r="D7" s="20">
        <f>SUM(D2:D6)</f>
        <v>-170.44999999999891</v>
      </c>
      <c r="H7" s="51"/>
      <c r="I7" s="54"/>
      <c r="J7" s="54"/>
      <c r="K7" s="54"/>
      <c r="L7" s="54"/>
    </row>
    <row r="8" spans="1:12">
      <c r="H8" s="51"/>
      <c r="I8" s="54"/>
      <c r="J8" s="54"/>
      <c r="K8" s="54"/>
      <c r="L8" s="54"/>
    </row>
    <row r="9" spans="1:12">
      <c r="H9" s="52"/>
      <c r="I9" s="55"/>
      <c r="J9" s="55"/>
      <c r="K9" s="59"/>
      <c r="L9" s="59"/>
    </row>
    <row r="10" spans="1:12">
      <c r="H10" s="53"/>
      <c r="I10" s="55"/>
      <c r="J10" s="55"/>
      <c r="K10" s="54"/>
      <c r="L10" s="54"/>
    </row>
    <row r="11" spans="1:12">
      <c r="H11" s="53"/>
      <c r="I11" s="55"/>
      <c r="J11" s="55"/>
      <c r="K11" s="54"/>
      <c r="L11" s="54"/>
    </row>
    <row r="12" spans="1:12">
      <c r="H12" s="53"/>
      <c r="I12" s="56"/>
      <c r="J12" s="56"/>
      <c r="K12" s="54"/>
      <c r="L12" s="54"/>
    </row>
    <row r="13" spans="1:12">
      <c r="I13" s="54"/>
      <c r="J13" s="20"/>
      <c r="K13" s="54"/>
      <c r="L13" s="54"/>
    </row>
    <row r="14" spans="1:12">
      <c r="A14" s="52"/>
      <c r="B14" s="55"/>
      <c r="H14" s="57"/>
      <c r="I14" s="58"/>
      <c r="J14" s="20"/>
      <c r="K14" s="54"/>
      <c r="L14" s="54"/>
    </row>
    <row r="15" spans="1:12">
      <c r="A15" s="53"/>
      <c r="B15" s="55"/>
      <c r="D15" s="37"/>
      <c r="I15" s="54"/>
      <c r="J15" s="20"/>
      <c r="K15" s="54"/>
      <c r="L15" s="54"/>
    </row>
    <row r="16" spans="1:12">
      <c r="A16" s="51"/>
      <c r="B16" s="54"/>
      <c r="E16" s="20"/>
      <c r="I16" s="54"/>
      <c r="J16" s="20"/>
      <c r="K16" s="54"/>
      <c r="L16" s="54"/>
    </row>
    <row r="17" spans="1:2">
      <c r="A17" s="51"/>
      <c r="B17" s="54"/>
    </row>
    <row r="18" spans="1:2">
      <c r="A18" s="51"/>
      <c r="B18" s="54"/>
    </row>
    <row r="19" spans="1:2">
      <c r="A19" s="51"/>
      <c r="B19" s="54"/>
    </row>
    <row r="20" spans="1:2">
      <c r="A20" s="51"/>
      <c r="B20" s="54"/>
    </row>
    <row r="21" spans="1:2">
      <c r="A21" s="51"/>
      <c r="B21" s="54"/>
    </row>
    <row r="22" spans="1:2">
      <c r="A22" s="51"/>
      <c r="B22" s="54"/>
    </row>
    <row r="23" spans="1:2">
      <c r="A23" s="52"/>
      <c r="B23" s="55"/>
    </row>
    <row r="24" spans="1:2">
      <c r="A24" s="53"/>
      <c r="B24" s="55"/>
    </row>
    <row r="25" spans="1:2">
      <c r="A25" s="53"/>
      <c r="B25" s="55"/>
    </row>
    <row r="26" spans="1:2">
      <c r="A26" s="53"/>
      <c r="B26" s="56"/>
    </row>
    <row r="28" spans="1:2">
      <c r="A28" s="5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Q13"/>
  <sheetViews>
    <sheetView workbookViewId="0">
      <selection activeCell="H18" sqref="H18"/>
    </sheetView>
  </sheetViews>
  <sheetFormatPr defaultRowHeight="13.8"/>
  <cols>
    <col min="1" max="1" width="14.33203125" customWidth="1"/>
    <col min="2" max="2" width="12" customWidth="1"/>
    <col min="3" max="3" width="13" customWidth="1"/>
    <col min="4" max="4" width="11.33203125" customWidth="1"/>
    <col min="5" max="5" width="12" customWidth="1"/>
    <col min="7" max="7" width="9.109375" bestFit="1" customWidth="1"/>
    <col min="10" max="10" width="11.88671875" customWidth="1"/>
    <col min="12" max="13" width="9.5546875" customWidth="1"/>
    <col min="14" max="14" width="13.21875" customWidth="1"/>
    <col min="15" max="15" width="11.5546875" customWidth="1"/>
    <col min="16" max="16" width="12" customWidth="1"/>
    <col min="17" max="17" width="13" customWidth="1"/>
  </cols>
  <sheetData>
    <row r="1" spans="1:17">
      <c r="A1" t="s">
        <v>18</v>
      </c>
      <c r="B1" t="s">
        <v>14</v>
      </c>
      <c r="C1" t="s">
        <v>19</v>
      </c>
      <c r="D1" t="s">
        <v>20</v>
      </c>
      <c r="E1" t="s">
        <v>21</v>
      </c>
      <c r="G1" s="61" t="s">
        <v>122</v>
      </c>
      <c r="H1" s="61"/>
      <c r="I1" s="61"/>
      <c r="J1" s="61"/>
      <c r="K1" s="61"/>
      <c r="L1" s="61"/>
      <c r="M1" s="62" t="s">
        <v>128</v>
      </c>
      <c r="N1" s="62"/>
      <c r="O1" s="62"/>
      <c r="P1" s="7"/>
    </row>
    <row r="2" spans="1:17">
      <c r="A2" t="s">
        <v>22</v>
      </c>
      <c r="B2" t="s">
        <v>7</v>
      </c>
      <c r="C2" s="60" t="s">
        <v>26</v>
      </c>
      <c r="D2" t="s">
        <v>71</v>
      </c>
      <c r="E2" t="s">
        <v>67</v>
      </c>
      <c r="G2" s="6" t="s">
        <v>70</v>
      </c>
      <c r="H2" s="6" t="s">
        <v>68</v>
      </c>
      <c r="I2" s="6" t="s">
        <v>72</v>
      </c>
      <c r="J2" s="6" t="s">
        <v>151</v>
      </c>
      <c r="K2" s="6" t="s">
        <v>75</v>
      </c>
      <c r="L2" s="14" t="s">
        <v>138</v>
      </c>
      <c r="M2" s="12" t="s">
        <v>129</v>
      </c>
      <c r="N2" s="13" t="s">
        <v>88</v>
      </c>
      <c r="O2" s="12" t="s">
        <v>139</v>
      </c>
      <c r="P2" s="12" t="s">
        <v>127</v>
      </c>
      <c r="Q2" s="5" t="s">
        <v>150</v>
      </c>
    </row>
    <row r="3" spans="1:17">
      <c r="A3" t="s">
        <v>23</v>
      </c>
      <c r="B3" t="s">
        <v>8</v>
      </c>
      <c r="C3" s="60"/>
      <c r="D3" s="64" t="s">
        <v>69</v>
      </c>
      <c r="E3" t="s">
        <v>62</v>
      </c>
      <c r="G3" s="12" t="s">
        <v>67</v>
      </c>
      <c r="H3" s="12" t="s">
        <v>125</v>
      </c>
      <c r="I3" s="3" t="s">
        <v>28</v>
      </c>
      <c r="J3" s="13" t="s">
        <v>142</v>
      </c>
      <c r="K3" s="3" t="s">
        <v>31</v>
      </c>
      <c r="L3" s="8"/>
      <c r="M3" s="13" t="s">
        <v>130</v>
      </c>
      <c r="N3" t="s">
        <v>140</v>
      </c>
    </row>
    <row r="4" spans="1:17">
      <c r="A4" t="s">
        <v>600</v>
      </c>
      <c r="B4" t="s">
        <v>10</v>
      </c>
      <c r="C4" s="60"/>
      <c r="D4" s="64"/>
      <c r="E4" t="s">
        <v>44</v>
      </c>
      <c r="H4" s="12" t="s">
        <v>77</v>
      </c>
      <c r="I4" s="3" t="s">
        <v>29</v>
      </c>
      <c r="J4" s="13" t="s">
        <v>86</v>
      </c>
      <c r="K4" s="3" t="s">
        <v>32</v>
      </c>
      <c r="L4" s="9"/>
      <c r="N4" s="12" t="s">
        <v>141</v>
      </c>
    </row>
    <row r="5" spans="1:17">
      <c r="A5" t="s">
        <v>8</v>
      </c>
      <c r="B5" t="s">
        <v>11</v>
      </c>
      <c r="C5" s="60"/>
      <c r="D5" s="64"/>
      <c r="E5" t="s">
        <v>49</v>
      </c>
      <c r="H5" s="12" t="s">
        <v>78</v>
      </c>
      <c r="I5" s="3" t="s">
        <v>30</v>
      </c>
      <c r="J5" s="13" t="s">
        <v>143</v>
      </c>
      <c r="L5" s="10"/>
      <c r="N5" t="s">
        <v>185</v>
      </c>
    </row>
    <row r="6" spans="1:17">
      <c r="A6" t="s">
        <v>24</v>
      </c>
      <c r="B6" t="s">
        <v>0</v>
      </c>
      <c r="C6" s="60"/>
      <c r="D6" s="63" t="s">
        <v>73</v>
      </c>
      <c r="E6" s="3" t="s">
        <v>28</v>
      </c>
      <c r="H6" s="12" t="s">
        <v>79</v>
      </c>
      <c r="L6" s="10"/>
      <c r="N6" s="12" t="s">
        <v>186</v>
      </c>
    </row>
    <row r="7" spans="1:17">
      <c r="A7" t="s">
        <v>25</v>
      </c>
      <c r="B7" t="s">
        <v>1</v>
      </c>
      <c r="C7" s="60"/>
      <c r="D7" s="63"/>
      <c r="E7" s="3" t="s">
        <v>29</v>
      </c>
      <c r="H7" s="12" t="s">
        <v>107</v>
      </c>
      <c r="L7" s="10"/>
    </row>
    <row r="8" spans="1:17">
      <c r="A8" t="s">
        <v>653</v>
      </c>
      <c r="B8" s="1" t="s">
        <v>2</v>
      </c>
      <c r="C8" s="60"/>
      <c r="D8" s="63"/>
      <c r="E8" s="3" t="s">
        <v>30</v>
      </c>
      <c r="H8" s="12" t="s">
        <v>126</v>
      </c>
      <c r="L8" s="10"/>
    </row>
    <row r="9" spans="1:17">
      <c r="B9" s="2" t="s">
        <v>3</v>
      </c>
      <c r="C9" s="60"/>
      <c r="D9" s="63" t="s">
        <v>74</v>
      </c>
      <c r="E9" s="3" t="s">
        <v>41</v>
      </c>
      <c r="L9" s="10"/>
    </row>
    <row r="10" spans="1:17">
      <c r="B10" s="2" t="s">
        <v>4</v>
      </c>
      <c r="C10" s="60"/>
      <c r="D10" s="63"/>
      <c r="E10" s="3" t="s">
        <v>42</v>
      </c>
      <c r="L10" s="10"/>
    </row>
    <row r="11" spans="1:17">
      <c r="B11" s="2" t="s">
        <v>5</v>
      </c>
      <c r="C11" s="60"/>
      <c r="D11" s="63" t="s">
        <v>76</v>
      </c>
      <c r="E11" s="3" t="s">
        <v>31</v>
      </c>
    </row>
    <row r="12" spans="1:17">
      <c r="B12" s="2" t="s">
        <v>6</v>
      </c>
      <c r="C12" s="60"/>
      <c r="D12" s="63"/>
      <c r="E12" s="3" t="s">
        <v>32</v>
      </c>
    </row>
    <row r="13" spans="1:17">
      <c r="B13" s="2" t="s">
        <v>12</v>
      </c>
      <c r="C13" t="s">
        <v>27</v>
      </c>
    </row>
  </sheetData>
  <mergeCells count="7">
    <mergeCell ref="C2:C12"/>
    <mergeCell ref="G1:L1"/>
    <mergeCell ref="M1:O1"/>
    <mergeCell ref="D6:D8"/>
    <mergeCell ref="D11:D12"/>
    <mergeCell ref="D9:D10"/>
    <mergeCell ref="D3:D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1</vt:i4>
      </vt:variant>
    </vt:vector>
  </HeadingPairs>
  <TitlesOfParts>
    <vt:vector size="6" baseType="lpstr">
      <vt:lpstr>支出</vt:lpstr>
      <vt:lpstr>收入</vt:lpstr>
      <vt:lpstr>余额2</vt:lpstr>
      <vt:lpstr>资产配置</vt:lpstr>
      <vt:lpstr>消费分类</vt:lpstr>
      <vt:lpstr>支出!提取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2026-01-14T05:23:44Z</dcterms:modified>
</cp:coreProperties>
</file>